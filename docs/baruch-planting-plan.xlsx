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<sst xmlns="http://schemas.openxmlformats.org/spreadsheetml/2006/main" count="311" uniqueCount="109">
  <si>
    <t>שנה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</si>
  <si>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</si>
  <si>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</si>
  <si>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</si>
  <si>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</si>
  <si>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</si>
  <si>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</si>
  <si>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</si>
  <si>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</si>
  <si>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</si>
  <si>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</si>
  <si>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</si>
  <si>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</si>
  <si>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שבועות</t>
  </si>
  <si>
    <t>שבוע 1</t>
  </si>
  <si>
    <t>שבוע 2</t>
  </si>
  <si>
    <t>שבוע 3</t>
  </si>
  <si>
    <t>שבוע 4</t>
  </si>
  <si>
    <t>שבוע 5</t>
  </si>
  <si>
    <t>שבוע 6</t>
  </si>
  <si>
    <t>שבוע 7</t>
  </si>
  <si>
    <t>שבוע 8</t>
  </si>
  <si>
    <t>שבוע 9</t>
  </si>
  <si>
    <t>שבוע 10</t>
  </si>
  <si>
    <t>שבוע 11</t>
  </si>
  <si>
    <t>שבוע 12</t>
  </si>
  <si>
    <t>שבוע 13</t>
  </si>
  <si>
    <t>שבוע 14</t>
  </si>
  <si>
    <t>שבוע 15</t>
  </si>
  <si>
    <t>שבוע 16</t>
  </si>
  <si>
    <t>שבוע 17</t>
  </si>
  <si>
    <t>שבוע 18</t>
  </si>
  <si>
    <t>שבוע 19</t>
  </si>
  <si>
    <t>שבוע 20</t>
  </si>
  <si>
    <t>שבוע 21</t>
  </si>
  <si>
    <t>שבוע 22</t>
  </si>
  <si>
    <t>שבוע 23</t>
  </si>
  <si>
    <t>שבוע 24</t>
  </si>
  <si>
    <t>שבוע 25</t>
  </si>
  <si>
    <t>שבוע 26</t>
  </si>
  <si>
    <t>שבוע 27</t>
  </si>
  <si>
    <t>שבוע 28</t>
  </si>
  <si>
    <t>שבוע 29</t>
  </si>
  <si>
    <t>שבוע 30</t>
  </si>
  <si>
    <t>שבוע 31</t>
  </si>
  <si>
    <t>שבוע 32</t>
  </si>
  <si>
    <t>שבוע 33</t>
  </si>
  <si>
    <t>שבוע 34</t>
  </si>
  <si>
    <t>שבוע 35</t>
  </si>
  <si>
    <t>שבוע 36</t>
  </si>
  <si>
    <t>שבוע 37</t>
  </si>
  <si>
    <t>שבוע 38</t>
  </si>
  <si>
    <t>שבוע 39</t>
  </si>
  <si>
    <t>שבוע 40</t>
  </si>
  <si>
    <t>שבוע 41</t>
  </si>
  <si>
    <t>שבוע 42</t>
  </si>
  <si>
    <t>שבוע 43</t>
  </si>
  <si>
    <t>שבוע 44</t>
  </si>
  <si>
    <t>שבוע 45</t>
  </si>
  <si>
    <t>שבוע 46</t>
  </si>
  <si>
    <t>שבוע 47</t>
  </si>
  <si>
    <t>שבוע 48</t>
  </si>
  <si>
    <t>שבוע 49</t>
  </si>
  <si>
    <t>שבוע 50</t>
  </si>
  <si>
    <t>שבוע 51</t>
  </si>
  <si>
    <t>שבוע 52</t>
  </si>
  <si>
    <t>זנים</t>
  </si>
  <si>
    <t>היילוקס</t>
  </si>
  <si>
    <t>סניאל</t>
  </si>
  <si>
    <t>ניר</t>
  </si>
  <si>
    <t>קישוא מג'יק ---- מלפפון דלוקס PS64</t>
  </si>
  <si>
    <t>חגים ומעדים</t>
  </si>
  <si>
    <t>ראש השנה</t>
  </si>
  <si>
    <t>כיפור</t>
  </si>
  <si>
    <t>סוכות א'</t>
  </si>
  <si>
    <t>סוכות ב'</t>
  </si>
  <si>
    <t>הערות</t>
  </si>
  <si>
    <t>11-13/9</t>
  </si>
  <si>
    <t>20-21/9</t>
  </si>
  <si>
    <t>25-26/9</t>
  </si>
  <si>
    <t>חלקות פעילות</t>
  </si>
  <si>
    <t>דונם</t>
  </si>
  <si>
    <t>מבנה 1</t>
  </si>
  <si>
    <t>קולורבי</t>
  </si>
  <si>
    <t>25.10.26</t>
  </si>
  <si>
    <t>מבנה 2</t>
  </si>
  <si>
    <t>מבנה 3</t>
  </si>
  <si>
    <t>מבנה 4</t>
  </si>
  <si>
    <t>מבנה 5</t>
  </si>
  <si>
    <t>מבנה 6</t>
  </si>
  <si>
    <t>מבנה 7</t>
  </si>
  <si>
    <t>כופתיות</t>
  </si>
  <si>
    <t>מבנה 8</t>
  </si>
  <si>
    <t>מבנה 9 ימין</t>
  </si>
  <si>
    <t>20.10.26</t>
  </si>
  <si>
    <t>מבנה 9 שמאל</t>
  </si>
  <si>
    <t>מבנה 9 קטן</t>
  </si>
  <si>
    <t>מבנה 10</t>
  </si>
  <si>
    <t>ק"ג שבועי</t>
  </si>
  <si>
    <t>משטח שבועי</t>
  </si>
  <si>
    <t>כפול 3 ₪ נטו</t>
  </si>
  <si>
    <t>סה"כ לחודש</t>
  </si>
  <si>
    <t>סה"כ שנתי</t>
  </si>
  <si>
    <t>הכנסות בפועל</t>
  </si>
  <si>
    <t>גרסה של ברוך</t>
  </si>
  <si>
    <t>14.7 סניאל</t>
  </si>
  <si>
    <t>1.7 סניאל</t>
  </si>
  <si>
    <t>מבנה 9 חצי</t>
  </si>
  <si>
    <t>22.6 סניאל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</si>
</sst>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  <scheme val="minor"/>
    </font>
    <font>
      <b/>
      <i/>
      <sz val="11.0"/>
      <color theme="1"/>
      <name val="Arial"/>
    </font>
    <font>
      <b/>
      <i/>
      <sz val="11.0"/>
      <color rgb="FFFFFFFF"/>
      <name val="Arial"/>
    </font>
    <font>
      <sz val="11.0"/>
      <color theme="1"/>
      <name val="Arial"/>
    </font>
    <font>
      <b/>
      <i/>
      <sz val="11.0"/>
      <color rgb="FF7F7F7F"/>
      <name val="Arial"/>
    </font>
    <font>
      <b/>
      <sz val="11.0"/>
      <color theme="1"/>
      <name val="Arial"/>
    </font>
    <font/>
    <font>
      <sz val="11.0"/>
      <color rgb="FFFFFFFF"/>
      <name val="Arial"/>
    </font>
    <font>
      <color theme="1"/>
      <name val="Arial"/>
      <scheme val="minor"/>
    </font>
    <font>
      <b/>
      <sz val="12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99FFCC"/>
        <bgColor rgb="FF99FFCC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FFE598"/>
        <bgColor rgb="FFFFE598"/>
      </patternFill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00FFFF"/>
        <bgColor rgb="FF00FFFF"/>
      </patternFill>
    </fill>
  </fills>
  <borders count="28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</border>
    <border>
      <left/>
      <right style="medium">
        <color rgb="FFCCCCCC"/>
      </right>
      <top style="medium">
        <color rgb="FFCCCCCC"/>
      </top>
      <bottom/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  <bottom/>
    </border>
    <border>
      <lef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center" wrapText="1"/>
    </xf>
    <xf borderId="2" fillId="3" fontId="2" numFmtId="0" xfId="0" applyAlignment="1" applyBorder="1" applyFill="1" applyFont="1">
      <alignment horizontal="center" readingOrder="2" shrinkToFit="0" vertical="center" wrapText="1"/>
    </xf>
    <xf borderId="2" fillId="3" fontId="2" numFmtId="0" xfId="0" applyAlignment="1" applyBorder="1" applyFont="1">
      <alignment horizontal="center" readingOrder="2" shrinkToFit="0" vertical="center" wrapText="1"/>
    </xf>
    <xf borderId="2" fillId="3" fontId="3" numFmtId="0" xfId="0" applyAlignment="1" applyBorder="1" applyFont="1">
      <alignment horizontal="center" readingOrder="2" shrinkToFit="0" vertical="center" wrapText="1"/>
    </xf>
    <xf borderId="2" fillId="4" fontId="2" numFmtId="0" xfId="0" applyAlignment="1" applyBorder="1" applyFill="1" applyFont="1">
      <alignment horizontal="center" readingOrder="2" shrinkToFit="0" vertical="center" wrapText="1"/>
    </xf>
    <xf borderId="2" fillId="4" fontId="3" numFmtId="0" xfId="0" applyAlignment="1" applyBorder="1" applyFont="1">
      <alignment horizontal="center" readingOrder="2" shrinkToFit="0" vertical="center" wrapText="1"/>
    </xf>
    <xf borderId="3" fillId="5" fontId="3" numFmtId="0" xfId="0" applyAlignment="1" applyBorder="1" applyFill="1" applyFont="1">
      <alignment horizontal="center" readingOrder="2" shrinkToFit="0" vertical="center" wrapText="1"/>
    </xf>
    <xf borderId="3" fillId="6" fontId="4" numFmtId="0" xfId="0" applyAlignment="1" applyBorder="1" applyFill="1" applyFont="1">
      <alignment horizontal="center" readingOrder="2" shrinkToFit="0" vertical="center" wrapText="1"/>
    </xf>
    <xf borderId="4" fillId="6" fontId="4" numFmtId="0" xfId="0" applyAlignment="1" applyBorder="1" applyFont="1">
      <alignment horizontal="center" readingOrder="2" shrinkToFit="0" vertical="center" wrapText="1"/>
    </xf>
    <xf borderId="1" fillId="2" fontId="1" numFmtId="0" xfId="0" applyAlignment="1" applyBorder="1" applyFont="1">
      <alignment horizontal="center" readingOrder="2" shrinkToFit="0" vertical="center" wrapText="1"/>
    </xf>
    <xf borderId="5" fillId="2" fontId="3" numFmtId="0" xfId="0" applyAlignment="1" applyBorder="1" applyFont="1">
      <alignment horizontal="center" readingOrder="2" shrinkToFit="0" vertical="center" wrapText="1"/>
    </xf>
    <xf borderId="1" fillId="0" fontId="3" numFmtId="0" xfId="0" applyAlignment="1" applyBorder="1" applyFont="1">
      <alignment horizontal="center" readingOrder="2" shrinkToFit="0" wrapText="1"/>
    </xf>
    <xf borderId="6" fillId="0" fontId="3" numFmtId="0" xfId="0" applyAlignment="1" applyBorder="1" applyFont="1">
      <alignment horizontal="center" readingOrder="2" shrinkToFit="0" wrapText="1"/>
    </xf>
    <xf borderId="7" fillId="7" fontId="5" numFmtId="0" xfId="0" applyAlignment="1" applyBorder="1" applyFill="1" applyFont="1">
      <alignment horizontal="center" readingOrder="2" shrinkToFit="0" wrapText="1"/>
    </xf>
    <xf borderId="8" fillId="0" fontId="6" numFmtId="0" xfId="0" applyBorder="1" applyFont="1"/>
    <xf borderId="9" fillId="0" fontId="6" numFmtId="0" xfId="0" applyBorder="1" applyFont="1"/>
    <xf borderId="7" fillId="8" fontId="5" numFmtId="0" xfId="0" applyAlignment="1" applyBorder="1" applyFill="1" applyFont="1">
      <alignment horizontal="center" readingOrder="2" shrinkToFit="0" wrapText="1"/>
    </xf>
    <xf borderId="7" fillId="9" fontId="5" numFmtId="0" xfId="0" applyAlignment="1" applyBorder="1" applyFill="1" applyFont="1">
      <alignment horizontal="center" readingOrder="2" shrinkToFit="0" wrapText="1"/>
    </xf>
    <xf borderId="6" fillId="10" fontId="5" numFmtId="0" xfId="0" applyAlignment="1" applyBorder="1" applyFill="1" applyFont="1">
      <alignment horizontal="center" readingOrder="2" shrinkToFit="0" vertical="center" wrapText="1"/>
    </xf>
    <xf borderId="10" fillId="0" fontId="6" numFmtId="0" xfId="0" applyBorder="1" applyFont="1"/>
    <xf borderId="11" fillId="0" fontId="6" numFmtId="0" xfId="0" applyBorder="1" applyFont="1"/>
    <xf borderId="1" fillId="11" fontId="1" numFmtId="0" xfId="0" applyAlignment="1" applyBorder="1" applyFill="1" applyFont="1">
      <alignment horizontal="center" readingOrder="2" shrinkToFit="0" wrapText="1"/>
    </xf>
    <xf borderId="2" fillId="12" fontId="3" numFmtId="0" xfId="0" applyAlignment="1" applyBorder="1" applyFill="1" applyFont="1">
      <alignment horizontal="center" readingOrder="2" shrinkToFit="0" vertical="center" wrapText="1"/>
    </xf>
    <xf borderId="12" fillId="0" fontId="3" numFmtId="0" xfId="0" applyAlignment="1" applyBorder="1" applyFont="1">
      <alignment horizontal="center" readingOrder="2" shrinkToFit="0" wrapText="1"/>
    </xf>
    <xf borderId="6" fillId="4" fontId="7" numFmtId="0" xfId="0" applyAlignment="1" applyBorder="1" applyFont="1">
      <alignment horizontal="center" readingOrder="2" shrinkToFit="0" vertical="center" wrapText="1"/>
    </xf>
    <xf borderId="1" fillId="4" fontId="7" numFmtId="0" xfId="0" applyAlignment="1" applyBorder="1" applyFont="1">
      <alignment horizontal="center" readingOrder="2" shrinkToFit="0" vertical="center" wrapText="1"/>
    </xf>
    <xf borderId="13" fillId="4" fontId="7" numFmtId="16" xfId="0" applyAlignment="1" applyBorder="1" applyFont="1" applyNumberFormat="1">
      <alignment horizontal="center" readingOrder="2" shrinkToFit="0" vertical="center" wrapText="1"/>
    </xf>
    <xf borderId="1" fillId="13" fontId="3" numFmtId="0" xfId="0" applyAlignment="1" applyBorder="1" applyFill="1" applyFont="1">
      <alignment horizontal="center" readingOrder="2" shrinkToFit="0" wrapText="1"/>
    </xf>
    <xf borderId="3" fillId="11" fontId="1" numFmtId="0" xfId="0" applyAlignment="1" applyBorder="1" applyFont="1">
      <alignment horizontal="center" readingOrder="2" shrinkToFit="0" wrapText="1"/>
    </xf>
    <xf borderId="14" fillId="0" fontId="3" numFmtId="0" xfId="0" applyAlignment="1" applyBorder="1" applyFont="1">
      <alignment horizontal="center" readingOrder="2" shrinkToFit="0" vertical="center" wrapText="1"/>
    </xf>
    <xf borderId="13" fillId="4" fontId="7" numFmtId="0" xfId="0" applyAlignment="1" applyBorder="1" applyFont="1">
      <alignment horizontal="center" readingOrder="2" shrinkToFit="0" vertical="center" wrapText="1"/>
    </xf>
    <xf borderId="15" fillId="4" fontId="7" numFmtId="0" xfId="0" applyAlignment="1" applyBorder="1" applyFont="1">
      <alignment horizontal="center" readingOrder="2" shrinkToFit="0" vertical="center" wrapText="1"/>
    </xf>
    <xf borderId="15" fillId="4" fontId="7" numFmtId="14" xfId="0" applyAlignment="1" applyBorder="1" applyFont="1" applyNumberFormat="1">
      <alignment horizontal="center" readingOrder="2" shrinkToFit="0" vertical="center" wrapText="1"/>
    </xf>
    <xf borderId="1" fillId="13" fontId="3" numFmtId="0" xfId="0" applyAlignment="1" applyBorder="1" applyFont="1">
      <alignment horizontal="center" readingOrder="2" shrinkToFit="0" vertical="center" wrapText="1"/>
    </xf>
    <xf borderId="14" fillId="0" fontId="1" numFmtId="0" xfId="0" applyAlignment="1" applyBorder="1" applyFont="1">
      <alignment horizontal="center" readingOrder="2" shrinkToFit="0" wrapText="1"/>
    </xf>
    <xf borderId="14" fillId="14" fontId="1" numFmtId="0" xfId="0" applyAlignment="1" applyBorder="1" applyFill="1" applyFont="1">
      <alignment horizontal="center" readingOrder="2" shrinkToFit="0" vertical="center" wrapText="1"/>
    </xf>
    <xf borderId="1" fillId="12" fontId="3" numFmtId="0" xfId="0" applyAlignment="1" applyBorder="1" applyFont="1">
      <alignment horizontal="center" readingOrder="2" shrinkToFit="0" wrapText="1"/>
    </xf>
    <xf borderId="16" fillId="12" fontId="1" numFmtId="0" xfId="0" applyAlignment="1" applyBorder="1" applyFont="1">
      <alignment horizontal="center" readingOrder="2" shrinkToFit="0" wrapText="1"/>
    </xf>
    <xf borderId="14" fillId="0" fontId="1" numFmtId="0" xfId="0" applyAlignment="1" applyBorder="1" applyFont="1">
      <alignment horizontal="center" readingOrder="2" shrinkToFit="0" vertical="center" wrapText="1"/>
    </xf>
    <xf borderId="1" fillId="13" fontId="3" numFmtId="0" xfId="0" applyAlignment="1" applyBorder="1" applyFont="1">
      <alignment horizontal="center" readingOrder="2" shrinkToFit="0" vertical="center" wrapText="1"/>
    </xf>
    <xf borderId="1" fillId="15" fontId="3" numFmtId="0" xfId="0" applyAlignment="1" applyBorder="1" applyFill="1" applyFont="1">
      <alignment horizontal="center" readingOrder="2" shrinkToFit="0" vertical="center" wrapText="1"/>
    </xf>
    <xf borderId="1" fillId="16" fontId="3" numFmtId="0" xfId="0" applyAlignment="1" applyBorder="1" applyFill="1" applyFont="1">
      <alignment horizontal="center" readingOrder="2" shrinkToFit="0" wrapText="1"/>
    </xf>
    <xf borderId="1" fillId="16" fontId="3" numFmtId="0" xfId="0" applyAlignment="1" applyBorder="1" applyFont="1">
      <alignment horizontal="center" readingOrder="2" shrinkToFit="0" wrapText="1"/>
    </xf>
    <xf borderId="1" fillId="14" fontId="3" numFmtId="0" xfId="0" applyAlignment="1" applyBorder="1" applyFont="1">
      <alignment horizontal="center" readingOrder="2" shrinkToFit="0" vertical="center" wrapText="1"/>
    </xf>
    <xf borderId="17" fillId="17" fontId="3" numFmtId="0" xfId="0" applyAlignment="1" applyBorder="1" applyFill="1" applyFont="1">
      <alignment horizontal="center" readingOrder="0"/>
    </xf>
    <xf borderId="17" fillId="17" fontId="3" numFmtId="0" xfId="0" applyAlignment="1" applyBorder="1" applyFont="1">
      <alignment horizontal="center"/>
    </xf>
    <xf borderId="0" fillId="12" fontId="8" numFmtId="0" xfId="0" applyFont="1"/>
    <xf borderId="16" fillId="0" fontId="1" numFmtId="0" xfId="0" applyAlignment="1" applyBorder="1" applyFont="1">
      <alignment horizontal="center" readingOrder="2" shrinkToFit="0" wrapText="1"/>
    </xf>
    <xf borderId="1" fillId="12" fontId="3" numFmtId="0" xfId="0" applyAlignment="1" applyBorder="1" applyFont="1">
      <alignment horizontal="center" readingOrder="2" vertical="center"/>
    </xf>
    <xf borderId="17" fillId="17" fontId="3" numFmtId="0" xfId="0" applyAlignment="1" applyBorder="1" applyFont="1">
      <alignment horizontal="center" vertical="bottom"/>
    </xf>
    <xf borderId="16" fillId="12" fontId="1" numFmtId="0" xfId="0" applyAlignment="1" applyBorder="1" applyFont="1">
      <alignment horizontal="center" readingOrder="2" shrinkToFit="0" wrapText="1"/>
    </xf>
    <xf borderId="1" fillId="17" fontId="3" numFmtId="0" xfId="0" applyAlignment="1" applyBorder="1" applyFont="1">
      <alignment horizontal="center" readingOrder="2" shrinkToFit="0" vertical="center" wrapText="1"/>
    </xf>
    <xf borderId="0" fillId="0" fontId="3" numFmtId="0" xfId="0" applyFont="1"/>
    <xf borderId="1" fillId="0" fontId="3" numFmtId="0" xfId="0" applyAlignment="1" applyBorder="1" applyFont="1">
      <alignment horizontal="center" readingOrder="2" vertical="center"/>
    </xf>
    <xf borderId="1" fillId="14" fontId="3" numFmtId="0" xfId="0" applyAlignment="1" applyBorder="1" applyFont="1">
      <alignment horizontal="center" readingOrder="2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12" fontId="3" numFmtId="0" xfId="0" applyAlignment="1" applyBorder="1" applyFont="1">
      <alignment horizontal="center" readingOrder="2" shrinkToFit="0" vertical="center" wrapText="1"/>
    </xf>
    <xf borderId="1" fillId="16" fontId="3" numFmtId="0" xfId="0" applyAlignment="1" applyBorder="1" applyFont="1">
      <alignment horizontal="center" readingOrder="2" vertical="center"/>
    </xf>
    <xf borderId="17" fillId="17" fontId="3" numFmtId="0" xfId="0" applyAlignment="1" applyBorder="1" applyFont="1">
      <alignment horizontal="center" vertical="bottom"/>
    </xf>
    <xf borderId="16" fillId="0" fontId="1" numFmtId="0" xfId="0" applyAlignment="1" applyBorder="1" applyFont="1">
      <alignment horizontal="center" readingOrder="2" shrinkToFit="0" wrapText="1"/>
    </xf>
    <xf borderId="1" fillId="5" fontId="3" numFmtId="0" xfId="0" applyAlignment="1" applyBorder="1" applyFont="1">
      <alignment horizontal="center" readingOrder="2" shrinkToFit="0" vertical="center" wrapText="1"/>
    </xf>
    <xf borderId="0" fillId="0" fontId="3" numFmtId="0" xfId="0" applyAlignment="1" applyFont="1">
      <alignment horizontal="center"/>
    </xf>
    <xf borderId="17" fillId="14" fontId="3" numFmtId="0" xfId="0" applyAlignment="1" applyBorder="1" applyFont="1">
      <alignment horizontal="center" readingOrder="0"/>
    </xf>
    <xf borderId="0" fillId="12" fontId="3" numFmtId="0" xfId="0" applyFont="1"/>
    <xf borderId="0" fillId="12" fontId="3" numFmtId="0" xfId="0" applyAlignment="1" applyFont="1">
      <alignment horizontal="center"/>
    </xf>
    <xf borderId="0" fillId="12" fontId="3" numFmtId="0" xfId="0" applyAlignment="1" applyFont="1">
      <alignment vertical="bottom"/>
    </xf>
    <xf borderId="4" fillId="0" fontId="1" numFmtId="0" xfId="0" applyAlignment="1" applyBorder="1" applyFont="1">
      <alignment horizontal="center" readingOrder="2" shrinkToFit="0" vertical="center" wrapText="1"/>
    </xf>
    <xf borderId="0" fillId="12" fontId="3" numFmtId="0" xfId="0" applyAlignment="1" applyFont="1">
      <alignment vertical="bottom"/>
    </xf>
    <xf borderId="0" fillId="12" fontId="3" numFmtId="0" xfId="0" applyAlignment="1" applyFont="1">
      <alignment vertical="bottom"/>
    </xf>
    <xf borderId="1" fillId="4" fontId="3" numFmtId="0" xfId="0" applyAlignment="1" applyBorder="1" applyFont="1">
      <alignment horizontal="center" readingOrder="2" shrinkToFit="0" vertical="center" wrapText="1"/>
    </xf>
    <xf borderId="1" fillId="0" fontId="3" numFmtId="0" xfId="0" applyAlignment="1" applyBorder="1" applyFont="1">
      <alignment horizontal="center" readingOrder="2" shrinkToFit="0" vertical="center" wrapText="1"/>
    </xf>
    <xf borderId="18" fillId="18" fontId="5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/>
    </xf>
    <xf borderId="19" fillId="18" fontId="5" numFmtId="0" xfId="0" applyAlignment="1" applyBorder="1" applyFont="1">
      <alignment horizontal="center" readingOrder="0" vertical="center"/>
    </xf>
    <xf borderId="17" fillId="19" fontId="3" numFmtId="1" xfId="0" applyAlignment="1" applyBorder="1" applyFill="1" applyFont="1" applyNumberFormat="1">
      <alignment horizontal="center" vertical="center"/>
    </xf>
    <xf borderId="19" fillId="18" fontId="5" numFmtId="0" xfId="0" applyAlignment="1" applyBorder="1" applyFont="1">
      <alignment horizontal="center" readingOrder="0" vertical="center"/>
    </xf>
    <xf borderId="17" fillId="19" fontId="3" numFmtId="0" xfId="0" applyAlignment="1" applyBorder="1" applyFont="1">
      <alignment horizontal="center" vertical="center"/>
    </xf>
    <xf borderId="20" fillId="16" fontId="5" numFmtId="1" xfId="0" applyAlignment="1" applyBorder="1" applyFont="1" applyNumberFormat="1">
      <alignment horizontal="center" vertical="center"/>
    </xf>
    <xf borderId="7" fillId="18" fontId="5" numFmtId="1" xfId="0" applyAlignment="1" applyBorder="1" applyFont="1" applyNumberFormat="1">
      <alignment horizontal="center" vertical="center"/>
    </xf>
    <xf borderId="7" fillId="16" fontId="5" numFmtId="1" xfId="0" applyAlignment="1" applyBorder="1" applyFont="1" applyNumberFormat="1">
      <alignment horizontal="center" vertical="center"/>
    </xf>
    <xf borderId="7" fillId="20" fontId="5" numFmtId="1" xfId="0" applyAlignment="1" applyBorder="1" applyFill="1" applyFont="1" applyNumberFormat="1">
      <alignment horizontal="center" vertical="center"/>
    </xf>
    <xf borderId="21" fillId="18" fontId="5" numFmtId="0" xfId="0" applyAlignment="1" applyBorder="1" applyFont="1">
      <alignment horizontal="center" readingOrder="0" vertical="center"/>
    </xf>
    <xf borderId="22" fillId="17" fontId="5" numFmtId="1" xfId="0" applyAlignment="1" applyBorder="1" applyFont="1" applyNumberFormat="1">
      <alignment horizontal="center" vertical="center"/>
    </xf>
    <xf borderId="23" fillId="0" fontId="6" numFmtId="0" xfId="0" applyBorder="1" applyFont="1"/>
    <xf borderId="24" fillId="0" fontId="6" numFmtId="0" xfId="0" applyBorder="1" applyFont="1"/>
    <xf borderId="0" fillId="0" fontId="3" numFmtId="1" xfId="0" applyAlignment="1" applyFont="1" applyNumberFormat="1">
      <alignment horizontal="center"/>
    </xf>
    <xf borderId="0" fillId="7" fontId="3" numFmtId="4" xfId="0" applyAlignment="1" applyFont="1" applyNumberFormat="1">
      <alignment horizontal="center"/>
    </xf>
    <xf borderId="7" fillId="21" fontId="5" numFmtId="0" xfId="0" applyAlignment="1" applyBorder="1" applyFill="1" applyFont="1">
      <alignment horizontal="center" readingOrder="0"/>
    </xf>
    <xf borderId="25" fillId="0" fontId="3" numFmtId="4" xfId="0" applyAlignment="1" applyBorder="1" applyFont="1" applyNumberFormat="1">
      <alignment horizontal="center" readingOrder="0"/>
    </xf>
    <xf borderId="26" fillId="0" fontId="3" numFmtId="4" xfId="0" applyAlignment="1" applyBorder="1" applyFont="1" applyNumberFormat="1">
      <alignment horizontal="center" readingOrder="0"/>
    </xf>
    <xf borderId="27" fillId="0" fontId="3" numFmtId="3" xfId="0" applyAlignment="1" applyBorder="1" applyFont="1" applyNumberFormat="1">
      <alignment horizontal="center" readingOrder="0"/>
    </xf>
    <xf borderId="0" fillId="16" fontId="9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1" fillId="16" fontId="3" numFmtId="0" xfId="0" applyAlignment="1" applyBorder="1" applyFont="1">
      <alignment horizontal="center" readingOrder="0" shrinkToFit="0" vertical="bottom" wrapText="1"/>
    </xf>
    <xf borderId="1" fillId="16" fontId="3" numFmtId="0" xfId="0" applyAlignment="1" applyBorder="1" applyFont="1">
      <alignment vertical="bottom"/>
    </xf>
    <xf borderId="1" fillId="14" fontId="3" numFmtId="0" xfId="0" applyAlignment="1" applyBorder="1" applyFont="1">
      <alignment horizontal="center" shrinkToFit="0" wrapText="1"/>
    </xf>
    <xf borderId="1" fillId="14" fontId="3" numFmtId="0" xfId="0" applyAlignment="1" applyBorder="1" applyFont="1">
      <alignment horizontal="center" shrinkToFit="0" wrapText="1"/>
    </xf>
    <xf borderId="1" fillId="14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12.25"/>
    <col customWidth="1" min="3" max="27" width="9.0"/>
    <col customWidth="1" min="28" max="28" width="9.63"/>
    <col customWidth="1" min="29" max="29" width="9.0"/>
    <col customWidth="1" min="30" max="30" width="11.25"/>
    <col customWidth="1" min="31" max="31" width="11.5"/>
    <col customWidth="1" min="32" max="40" width="9.0"/>
    <col customWidth="1" min="41" max="41" width="11.13"/>
    <col customWidth="1" min="42" max="42" width="10.75"/>
    <col customWidth="1" min="43" max="43" width="10.5"/>
    <col customWidth="1" min="44" max="84" width="9.0"/>
  </cols>
  <sheetData>
    <row r="1" ht="13.5" customHeight="1">
      <c r="A1" s="1" t="s">
        <v>0</v>
      </c>
      <c r="B1" s="2">
        <v>2026.0</v>
      </c>
      <c r="C1" s="3" t="s">
        <v>1</v>
      </c>
      <c r="D1" s="3"/>
      <c r="E1" s="4"/>
      <c r="F1" s="4"/>
      <c r="G1" s="4"/>
      <c r="H1" s="5" t="s">
        <v>2</v>
      </c>
      <c r="I1" s="6"/>
      <c r="J1" s="6"/>
      <c r="K1" s="6"/>
      <c r="L1" s="3" t="s">
        <v>3</v>
      </c>
      <c r="M1" s="4"/>
      <c r="N1" s="4"/>
      <c r="O1" s="4"/>
      <c r="P1" s="5" t="s">
        <v>4</v>
      </c>
      <c r="Q1" s="6"/>
      <c r="R1" s="6"/>
      <c r="S1" s="6"/>
      <c r="T1" s="3" t="s">
        <v>5</v>
      </c>
      <c r="U1" s="4"/>
      <c r="V1" s="4"/>
      <c r="W1" s="4"/>
      <c r="X1" s="4"/>
      <c r="Y1" s="5" t="s">
        <v>6</v>
      </c>
      <c r="Z1" s="6"/>
      <c r="AA1" s="6"/>
      <c r="AB1" s="6"/>
      <c r="AC1" s="3" t="s">
        <v>7</v>
      </c>
      <c r="AD1" s="4"/>
      <c r="AE1" s="4"/>
      <c r="AF1" s="4"/>
      <c r="AG1" s="5" t="s">
        <v>8</v>
      </c>
      <c r="AH1" s="6"/>
      <c r="AI1" s="6"/>
      <c r="AJ1" s="6"/>
      <c r="AK1" s="6"/>
      <c r="AL1" s="3" t="s">
        <v>9</v>
      </c>
      <c r="AM1" s="4"/>
      <c r="AN1" s="4"/>
      <c r="AO1" s="4"/>
      <c r="AP1" s="5" t="s">
        <v>10</v>
      </c>
      <c r="AQ1" s="6"/>
      <c r="AR1" s="6"/>
      <c r="AS1" s="6"/>
      <c r="AT1" s="6"/>
      <c r="AU1" s="3" t="s">
        <v>11</v>
      </c>
      <c r="AV1" s="4"/>
      <c r="AW1" s="4"/>
      <c r="AX1" s="4"/>
      <c r="AY1" s="5" t="s">
        <v>12</v>
      </c>
      <c r="AZ1" s="6"/>
      <c r="BA1" s="6"/>
      <c r="BB1" s="6"/>
      <c r="BC1" s="3" t="s">
        <v>1</v>
      </c>
      <c r="BD1" s="3"/>
      <c r="BE1" s="4"/>
      <c r="BF1" s="4"/>
      <c r="BG1" s="4"/>
      <c r="BH1" s="5" t="s">
        <v>2</v>
      </c>
      <c r="BI1" s="6"/>
      <c r="BJ1" s="6"/>
      <c r="BK1" s="6"/>
      <c r="BL1" s="3" t="s">
        <v>3</v>
      </c>
      <c r="BM1" s="4"/>
      <c r="BN1" s="4"/>
      <c r="BO1" s="4"/>
      <c r="BP1" s="5" t="s">
        <v>4</v>
      </c>
      <c r="BQ1" s="6"/>
      <c r="BR1" s="6"/>
      <c r="BS1" s="6"/>
      <c r="BT1" s="3" t="s">
        <v>5</v>
      </c>
      <c r="BU1" s="4"/>
      <c r="BV1" s="4"/>
      <c r="BW1" s="4"/>
      <c r="BX1" s="4"/>
      <c r="BY1" s="5" t="s">
        <v>6</v>
      </c>
      <c r="BZ1" s="6"/>
      <c r="CA1" s="6"/>
      <c r="CB1" s="6"/>
      <c r="CC1" s="3" t="s">
        <v>7</v>
      </c>
      <c r="CD1" s="4"/>
      <c r="CE1" s="4"/>
      <c r="CF1" s="4"/>
    </row>
    <row r="2" ht="13.5" customHeight="1">
      <c r="A2" s="1" t="s">
        <v>13</v>
      </c>
      <c r="B2" s="7"/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9" t="s">
        <v>24</v>
      </c>
      <c r="N2" s="9" t="s">
        <v>25</v>
      </c>
      <c r="O2" s="9" t="s">
        <v>26</v>
      </c>
      <c r="P2" s="9" t="s">
        <v>27</v>
      </c>
      <c r="Q2" s="9" t="s">
        <v>28</v>
      </c>
      <c r="R2" s="9" t="s">
        <v>29</v>
      </c>
      <c r="S2" s="9" t="s">
        <v>30</v>
      </c>
      <c r="T2" s="9" t="s">
        <v>31</v>
      </c>
      <c r="U2" s="9" t="s">
        <v>32</v>
      </c>
      <c r="V2" s="9" t="s">
        <v>33</v>
      </c>
      <c r="W2" s="9" t="s">
        <v>34</v>
      </c>
      <c r="X2" s="9" t="s">
        <v>35</v>
      </c>
      <c r="Y2" s="9" t="s">
        <v>36</v>
      </c>
      <c r="Z2" s="9" t="s">
        <v>37</v>
      </c>
      <c r="AA2" s="9" t="s">
        <v>38</v>
      </c>
      <c r="AB2" s="9" t="s">
        <v>39</v>
      </c>
      <c r="AC2" s="9" t="s">
        <v>40</v>
      </c>
      <c r="AD2" s="9" t="s">
        <v>41</v>
      </c>
      <c r="AE2" s="9" t="s">
        <v>42</v>
      </c>
      <c r="AF2" s="9" t="s">
        <v>43</v>
      </c>
      <c r="AG2" s="9" t="s">
        <v>44</v>
      </c>
      <c r="AH2" s="9" t="s">
        <v>45</v>
      </c>
      <c r="AI2" s="9" t="s">
        <v>46</v>
      </c>
      <c r="AJ2" s="9" t="s">
        <v>47</v>
      </c>
      <c r="AK2" s="9" t="s">
        <v>48</v>
      </c>
      <c r="AL2" s="8" t="s">
        <v>49</v>
      </c>
      <c r="AM2" s="8" t="s">
        <v>50</v>
      </c>
      <c r="AN2" s="8" t="s">
        <v>51</v>
      </c>
      <c r="AO2" s="8" t="s">
        <v>52</v>
      </c>
      <c r="AP2" s="8" t="s">
        <v>53</v>
      </c>
      <c r="AQ2" s="8" t="s">
        <v>54</v>
      </c>
      <c r="AR2" s="8" t="s">
        <v>55</v>
      </c>
      <c r="AS2" s="8" t="s">
        <v>56</v>
      </c>
      <c r="AT2" s="8" t="s">
        <v>57</v>
      </c>
      <c r="AU2" s="8" t="s">
        <v>58</v>
      </c>
      <c r="AV2" s="8" t="s">
        <v>59</v>
      </c>
      <c r="AW2" s="8" t="s">
        <v>60</v>
      </c>
      <c r="AX2" s="8" t="s">
        <v>61</v>
      </c>
      <c r="AY2" s="8" t="s">
        <v>62</v>
      </c>
      <c r="AZ2" s="8" t="s">
        <v>63</v>
      </c>
      <c r="BA2" s="8" t="s">
        <v>64</v>
      </c>
      <c r="BB2" s="8" t="s">
        <v>65</v>
      </c>
      <c r="BC2" s="8" t="s">
        <v>14</v>
      </c>
      <c r="BD2" s="8" t="s">
        <v>15</v>
      </c>
      <c r="BE2" s="8" t="s">
        <v>16</v>
      </c>
      <c r="BF2" s="8" t="s">
        <v>17</v>
      </c>
      <c r="BG2" s="8" t="s">
        <v>18</v>
      </c>
      <c r="BH2" s="9" t="s">
        <v>19</v>
      </c>
      <c r="BI2" s="9" t="s">
        <v>20</v>
      </c>
      <c r="BJ2" s="9" t="s">
        <v>21</v>
      </c>
      <c r="BK2" s="9" t="s">
        <v>22</v>
      </c>
      <c r="BL2" s="9" t="s">
        <v>23</v>
      </c>
      <c r="BM2" s="9" t="s">
        <v>24</v>
      </c>
      <c r="BN2" s="9" t="s">
        <v>25</v>
      </c>
      <c r="BO2" s="9" t="s">
        <v>26</v>
      </c>
      <c r="BP2" s="9" t="s">
        <v>27</v>
      </c>
      <c r="BQ2" s="9" t="s">
        <v>28</v>
      </c>
      <c r="BR2" s="9" t="s">
        <v>29</v>
      </c>
      <c r="BS2" s="9" t="s">
        <v>30</v>
      </c>
      <c r="BT2" s="9" t="s">
        <v>31</v>
      </c>
      <c r="BU2" s="9" t="s">
        <v>32</v>
      </c>
      <c r="BV2" s="9" t="s">
        <v>33</v>
      </c>
      <c r="BW2" s="9" t="s">
        <v>34</v>
      </c>
      <c r="BX2" s="9" t="s">
        <v>35</v>
      </c>
      <c r="BY2" s="9" t="s">
        <v>36</v>
      </c>
      <c r="BZ2" s="9" t="s">
        <v>37</v>
      </c>
      <c r="CA2" s="9" t="s">
        <v>38</v>
      </c>
      <c r="CB2" s="9" t="s">
        <v>39</v>
      </c>
      <c r="CC2" s="9" t="s">
        <v>40</v>
      </c>
      <c r="CD2" s="9" t="s">
        <v>41</v>
      </c>
      <c r="CE2" s="9" t="s">
        <v>42</v>
      </c>
      <c r="CF2" s="9" t="s">
        <v>43</v>
      </c>
    </row>
    <row r="3" ht="13.5" customHeight="1">
      <c r="A3" s="10" t="s">
        <v>66</v>
      </c>
      <c r="B3" s="11"/>
      <c r="C3" s="12"/>
      <c r="D3" s="12"/>
      <c r="E3" s="12"/>
      <c r="F3" s="12"/>
      <c r="G3" s="13"/>
      <c r="H3" s="14" t="s">
        <v>67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/>
      <c r="X3" s="17" t="s">
        <v>68</v>
      </c>
      <c r="Y3" s="15"/>
      <c r="Z3" s="15"/>
      <c r="AA3" s="15"/>
      <c r="AB3" s="15"/>
      <c r="AC3" s="15"/>
      <c r="AD3" s="15"/>
      <c r="AE3" s="15"/>
      <c r="AF3" s="16"/>
      <c r="AG3" s="14" t="s">
        <v>67</v>
      </c>
      <c r="AH3" s="15"/>
      <c r="AI3" s="15"/>
      <c r="AJ3" s="15"/>
      <c r="AK3" s="16"/>
      <c r="AL3" s="18" t="s">
        <v>69</v>
      </c>
      <c r="AM3" s="15"/>
      <c r="AN3" s="15"/>
      <c r="AO3" s="15"/>
      <c r="AP3" s="15"/>
      <c r="AQ3" s="16"/>
      <c r="AR3" s="19" t="s">
        <v>70</v>
      </c>
      <c r="AS3" s="20"/>
      <c r="AT3" s="20"/>
      <c r="AU3" s="20"/>
      <c r="AV3" s="20"/>
      <c r="AW3" s="20"/>
      <c r="AX3" s="20"/>
      <c r="AY3" s="20"/>
      <c r="AZ3" s="20"/>
      <c r="BA3" s="20"/>
      <c r="BB3" s="21"/>
      <c r="BC3" s="12"/>
      <c r="BD3" s="12"/>
      <c r="BE3" s="12"/>
      <c r="BF3" s="12"/>
      <c r="BG3" s="13"/>
      <c r="BH3" s="14" t="s">
        <v>67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6"/>
      <c r="BX3" s="17" t="s">
        <v>68</v>
      </c>
      <c r="BY3" s="15"/>
      <c r="BZ3" s="15"/>
      <c r="CA3" s="15"/>
      <c r="CB3" s="15"/>
      <c r="CC3" s="15"/>
      <c r="CD3" s="15"/>
      <c r="CE3" s="15"/>
      <c r="CF3" s="16"/>
    </row>
    <row r="4" ht="13.5" customHeight="1">
      <c r="A4" s="22" t="s">
        <v>71</v>
      </c>
      <c r="B4" s="23"/>
      <c r="C4" s="12"/>
      <c r="D4" s="12"/>
      <c r="E4" s="12"/>
      <c r="F4" s="12"/>
      <c r="G4" s="12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5" t="s">
        <v>72</v>
      </c>
      <c r="AN4" s="21"/>
      <c r="AO4" s="26" t="s">
        <v>73</v>
      </c>
      <c r="AP4" s="26" t="s">
        <v>74</v>
      </c>
      <c r="AQ4" s="27" t="s">
        <v>75</v>
      </c>
      <c r="AR4" s="28"/>
      <c r="AS4" s="28"/>
      <c r="AT4" s="28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</row>
    <row r="5" ht="13.5" customHeight="1">
      <c r="A5" s="29" t="s">
        <v>76</v>
      </c>
      <c r="B5" s="30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8"/>
      <c r="AK5" s="28"/>
      <c r="AL5" s="28"/>
      <c r="AM5" s="25" t="s">
        <v>77</v>
      </c>
      <c r="AN5" s="21"/>
      <c r="AO5" s="31" t="s">
        <v>78</v>
      </c>
      <c r="AP5" s="32" t="s">
        <v>79</v>
      </c>
      <c r="AQ5" s="33">
        <v>40239.0</v>
      </c>
      <c r="AR5" s="34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</row>
    <row r="6" ht="13.5" customHeight="1">
      <c r="A6" s="35" t="s">
        <v>80</v>
      </c>
      <c r="B6" s="36" t="s">
        <v>81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37"/>
      <c r="CD6" s="37"/>
      <c r="CE6" s="37"/>
      <c r="CF6" s="37"/>
    </row>
    <row r="7" ht="13.5" customHeight="1">
      <c r="A7" s="38" t="s">
        <v>82</v>
      </c>
      <c r="B7" s="39">
        <v>5.0</v>
      </c>
      <c r="C7" s="12"/>
      <c r="D7" s="12"/>
      <c r="E7" s="40" t="s">
        <v>83</v>
      </c>
      <c r="F7" s="41">
        <v>0.0</v>
      </c>
      <c r="G7" s="41">
        <v>0.0</v>
      </c>
      <c r="H7" s="34"/>
      <c r="L7" s="42">
        <v>4.3</v>
      </c>
      <c r="M7" s="43"/>
      <c r="N7" s="43"/>
      <c r="O7" s="43"/>
      <c r="P7" s="43"/>
      <c r="Q7" s="43"/>
      <c r="R7" s="43"/>
      <c r="S7" s="43"/>
      <c r="T7" s="44">
        <v>500.0</v>
      </c>
      <c r="U7" s="44">
        <v>500.0</v>
      </c>
      <c r="V7" s="44">
        <v>500.0</v>
      </c>
      <c r="W7" s="44">
        <v>500.0</v>
      </c>
      <c r="X7" s="44">
        <v>500.0</v>
      </c>
      <c r="Y7" s="44">
        <v>500.0</v>
      </c>
      <c r="Z7" s="44">
        <v>500.0</v>
      </c>
      <c r="AA7" s="44">
        <v>500.0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7"/>
      <c r="AT7" s="42" t="s">
        <v>84</v>
      </c>
      <c r="AU7" s="43"/>
      <c r="AV7" s="43"/>
      <c r="AW7" s="43"/>
      <c r="AX7" s="43"/>
      <c r="AY7" s="45">
        <v>150.0</v>
      </c>
      <c r="AZ7" s="45">
        <v>300.0</v>
      </c>
      <c r="BA7" s="45">
        <v>300.0</v>
      </c>
      <c r="BB7" s="45">
        <v>300.0</v>
      </c>
      <c r="BC7" s="45">
        <v>300.0</v>
      </c>
      <c r="BD7" s="45">
        <v>300.0</v>
      </c>
      <c r="BE7" s="46">
        <v>300.0</v>
      </c>
      <c r="BF7" s="45">
        <v>300.0</v>
      </c>
      <c r="BG7" s="45">
        <v>300.0</v>
      </c>
      <c r="BH7" s="45">
        <v>300.0</v>
      </c>
      <c r="BI7" s="45">
        <v>300.0</v>
      </c>
      <c r="BJ7" s="45">
        <v>300.0</v>
      </c>
      <c r="BK7" s="45">
        <v>300.0</v>
      </c>
      <c r="BL7" s="45">
        <v>300.0</v>
      </c>
      <c r="BM7" s="45">
        <v>300.0</v>
      </c>
      <c r="BN7" s="45">
        <v>300.0</v>
      </c>
      <c r="BO7" s="45">
        <v>300.0</v>
      </c>
      <c r="BP7" s="45">
        <v>300.0</v>
      </c>
      <c r="BQ7" s="45">
        <v>300.0</v>
      </c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3"/>
      <c r="CE7" s="44">
        <v>500.0</v>
      </c>
      <c r="CF7" s="44">
        <v>750.0</v>
      </c>
    </row>
    <row r="8" ht="13.5" customHeight="1">
      <c r="A8" s="48" t="s">
        <v>85</v>
      </c>
      <c r="B8" s="39">
        <v>5.0</v>
      </c>
      <c r="C8" s="12"/>
      <c r="D8" s="12"/>
      <c r="E8" s="40" t="s">
        <v>83</v>
      </c>
      <c r="F8" s="41">
        <v>0.0</v>
      </c>
      <c r="G8" s="41">
        <v>0.0</v>
      </c>
      <c r="H8" s="12"/>
      <c r="L8" s="42">
        <v>4.3</v>
      </c>
      <c r="M8" s="43"/>
      <c r="N8" s="43"/>
      <c r="O8" s="43"/>
      <c r="P8" s="43"/>
      <c r="Q8" s="43"/>
      <c r="R8" s="43"/>
      <c r="S8" s="43"/>
      <c r="T8" s="44">
        <v>500.0</v>
      </c>
      <c r="U8" s="44">
        <v>500.0</v>
      </c>
      <c r="V8" s="44">
        <v>500.0</v>
      </c>
      <c r="W8" s="44">
        <v>500.0</v>
      </c>
      <c r="X8" s="44">
        <v>500.0</v>
      </c>
      <c r="Y8" s="44">
        <v>500.0</v>
      </c>
      <c r="Z8" s="44">
        <v>500.0</v>
      </c>
      <c r="AA8" s="44">
        <v>500.0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49"/>
      <c r="AT8" s="42" t="s">
        <v>84</v>
      </c>
      <c r="AU8" s="43"/>
      <c r="AV8" s="43"/>
      <c r="AW8" s="43"/>
      <c r="AX8" s="43"/>
      <c r="AY8" s="50">
        <v>150.0</v>
      </c>
      <c r="AZ8" s="45">
        <v>350.0</v>
      </c>
      <c r="BA8" s="45">
        <v>350.0</v>
      </c>
      <c r="BB8" s="45">
        <v>350.0</v>
      </c>
      <c r="BC8" s="45">
        <v>300.0</v>
      </c>
      <c r="BD8" s="45">
        <v>300.0</v>
      </c>
      <c r="BE8" s="46">
        <v>300.0</v>
      </c>
      <c r="BF8" s="45">
        <v>300.0</v>
      </c>
      <c r="BG8" s="45">
        <v>300.0</v>
      </c>
      <c r="BH8" s="45">
        <v>300.0</v>
      </c>
      <c r="BI8" s="45">
        <v>300.0</v>
      </c>
      <c r="BJ8" s="45">
        <v>300.0</v>
      </c>
      <c r="BK8" s="45">
        <v>300.0</v>
      </c>
      <c r="BL8" s="45">
        <v>300.0</v>
      </c>
      <c r="BM8" s="45">
        <v>300.0</v>
      </c>
      <c r="BN8" s="45">
        <v>300.0</v>
      </c>
      <c r="BO8" s="45">
        <v>300.0</v>
      </c>
      <c r="BP8" s="45">
        <v>300.0</v>
      </c>
      <c r="BQ8" s="45">
        <v>300.0</v>
      </c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3"/>
      <c r="CE8" s="43"/>
      <c r="CF8" s="44">
        <v>500.0</v>
      </c>
    </row>
    <row r="9" ht="13.5" customHeight="1">
      <c r="A9" s="51" t="s">
        <v>86</v>
      </c>
      <c r="B9" s="39">
        <v>5.0</v>
      </c>
      <c r="C9" s="52">
        <v>150.0</v>
      </c>
      <c r="D9" s="52">
        <v>150.0</v>
      </c>
      <c r="E9" s="52">
        <v>150.0</v>
      </c>
      <c r="F9" s="52">
        <v>150.0</v>
      </c>
      <c r="G9" s="52">
        <v>150.0</v>
      </c>
      <c r="H9" s="12"/>
      <c r="L9" s="12"/>
      <c r="P9" s="12"/>
      <c r="T9" s="53"/>
      <c r="U9" s="53"/>
      <c r="V9" s="54"/>
      <c r="W9" s="53"/>
      <c r="X9" s="42">
        <v>28.5</v>
      </c>
      <c r="Y9" s="43"/>
      <c r="Z9" s="43"/>
      <c r="AA9" s="43"/>
      <c r="AB9" s="44">
        <v>500.0</v>
      </c>
      <c r="AC9" s="44">
        <v>750.0</v>
      </c>
      <c r="AD9" s="44">
        <v>1500.0</v>
      </c>
      <c r="AE9" s="44">
        <v>1500.0</v>
      </c>
      <c r="AF9" s="55">
        <v>1200.0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56"/>
      <c r="AW9" s="57"/>
      <c r="AX9" s="37"/>
      <c r="AY9" s="46">
        <v>300.0</v>
      </c>
      <c r="AZ9" s="45">
        <v>350.0</v>
      </c>
      <c r="BA9" s="45">
        <v>350.0</v>
      </c>
      <c r="BB9" s="45">
        <v>350.0</v>
      </c>
      <c r="BC9" s="45">
        <v>300.0</v>
      </c>
      <c r="BD9" s="45">
        <v>300.0</v>
      </c>
      <c r="BE9" s="46">
        <v>300.0</v>
      </c>
      <c r="BF9" s="45">
        <v>300.0</v>
      </c>
      <c r="BG9" s="45">
        <v>300.0</v>
      </c>
      <c r="BH9" s="45">
        <v>300.0</v>
      </c>
      <c r="BI9" s="45">
        <v>300.0</v>
      </c>
      <c r="BJ9" s="45">
        <v>300.0</v>
      </c>
      <c r="BK9" s="45">
        <v>300.0</v>
      </c>
      <c r="BL9" s="45">
        <v>300.0</v>
      </c>
      <c r="BM9" s="45">
        <v>300.0</v>
      </c>
      <c r="BN9" s="45">
        <v>300.0</v>
      </c>
      <c r="BO9" s="45">
        <v>300.0</v>
      </c>
      <c r="BP9" s="45">
        <v>300.0</v>
      </c>
      <c r="BQ9" s="45">
        <v>300.0</v>
      </c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37"/>
      <c r="CE9" s="37"/>
      <c r="CF9" s="58"/>
    </row>
    <row r="10" ht="13.5" customHeight="1">
      <c r="A10" s="48" t="s">
        <v>87</v>
      </c>
      <c r="B10" s="39">
        <v>5.0</v>
      </c>
      <c r="C10" s="34"/>
      <c r="D10" s="34"/>
      <c r="E10" s="34"/>
      <c r="F10" s="34"/>
      <c r="G10" s="34"/>
      <c r="H10" s="34"/>
      <c r="J10" s="59">
        <v>16.2</v>
      </c>
      <c r="K10" s="43"/>
      <c r="L10" s="43"/>
      <c r="M10" s="43"/>
      <c r="N10" s="43"/>
      <c r="O10" s="43"/>
      <c r="P10" s="43"/>
      <c r="Q10" s="44">
        <v>500.0</v>
      </c>
      <c r="R10" s="44">
        <v>1000.0</v>
      </c>
      <c r="S10" s="44">
        <v>1000.0</v>
      </c>
      <c r="T10" s="44">
        <v>500.0</v>
      </c>
      <c r="U10" s="44">
        <v>500.0</v>
      </c>
      <c r="V10" s="44">
        <v>500.0</v>
      </c>
      <c r="W10" s="44">
        <v>500.0</v>
      </c>
      <c r="X10" s="44">
        <v>500.0</v>
      </c>
      <c r="Y10" s="44">
        <v>500.0</v>
      </c>
      <c r="Z10" s="44">
        <v>500.0</v>
      </c>
      <c r="AA10" s="44">
        <v>500.0</v>
      </c>
      <c r="AB10" s="53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43"/>
      <c r="AX10" s="43"/>
      <c r="AY10" s="45">
        <v>150.0</v>
      </c>
      <c r="AZ10" s="45">
        <v>300.0</v>
      </c>
      <c r="BA10" s="45">
        <v>300.0</v>
      </c>
      <c r="BB10" s="45">
        <v>300.0</v>
      </c>
      <c r="BC10" s="45">
        <v>300.0</v>
      </c>
      <c r="BD10" s="45">
        <v>300.0</v>
      </c>
      <c r="BE10" s="46">
        <v>300.0</v>
      </c>
      <c r="BF10" s="45">
        <v>300.0</v>
      </c>
      <c r="BG10" s="45">
        <v>300.0</v>
      </c>
      <c r="BH10" s="45">
        <v>300.0</v>
      </c>
      <c r="BI10" s="45">
        <v>300.0</v>
      </c>
      <c r="BJ10" s="45">
        <v>300.0</v>
      </c>
      <c r="BK10" s="45">
        <v>300.0</v>
      </c>
      <c r="BL10" s="45">
        <v>300.0</v>
      </c>
      <c r="BM10" s="45">
        <v>300.0</v>
      </c>
      <c r="BN10" s="45">
        <v>300.0</v>
      </c>
      <c r="BO10" s="45">
        <v>300.0</v>
      </c>
      <c r="BP10" s="45">
        <v>300.0</v>
      </c>
      <c r="BQ10" s="45">
        <v>300.0</v>
      </c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4">
        <v>1500.0</v>
      </c>
      <c r="CE10" s="55">
        <v>1200.0</v>
      </c>
      <c r="CF10" s="37"/>
    </row>
    <row r="11" ht="13.5" customHeight="1">
      <c r="A11" s="48" t="s">
        <v>88</v>
      </c>
      <c r="B11" s="39">
        <v>5.0</v>
      </c>
      <c r="C11" s="34"/>
      <c r="D11" s="34"/>
      <c r="E11" s="34"/>
      <c r="F11" s="34"/>
      <c r="G11" s="34"/>
      <c r="H11" s="34"/>
      <c r="J11" s="59">
        <v>16.2</v>
      </c>
      <c r="K11" s="43"/>
      <c r="L11" s="43"/>
      <c r="M11" s="43"/>
      <c r="N11" s="43"/>
      <c r="O11" s="43"/>
      <c r="P11" s="43"/>
      <c r="Q11" s="44">
        <v>500.0</v>
      </c>
      <c r="R11" s="44">
        <v>1000.0</v>
      </c>
      <c r="S11" s="44">
        <v>1000.0</v>
      </c>
      <c r="T11" s="44">
        <v>500.0</v>
      </c>
      <c r="U11" s="44">
        <v>500.0</v>
      </c>
      <c r="V11" s="44">
        <v>500.0</v>
      </c>
      <c r="W11" s="44">
        <v>500.0</v>
      </c>
      <c r="X11" s="44">
        <v>500.0</v>
      </c>
      <c r="Y11" s="44">
        <v>500.0</v>
      </c>
      <c r="Z11" s="44">
        <v>500.0</v>
      </c>
      <c r="AA11" s="44">
        <v>500.0</v>
      </c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49"/>
      <c r="AT11" s="42" t="s">
        <v>84</v>
      </c>
      <c r="AU11" s="43"/>
      <c r="AV11" s="43"/>
      <c r="AW11" s="43"/>
      <c r="AX11" s="43"/>
      <c r="AY11" s="50">
        <v>150.0</v>
      </c>
      <c r="AZ11" s="60">
        <v>300.0</v>
      </c>
      <c r="BA11" s="45">
        <v>300.0</v>
      </c>
      <c r="BB11" s="45">
        <v>300.0</v>
      </c>
      <c r="BC11" s="45">
        <v>300.0</v>
      </c>
      <c r="BD11" s="45">
        <v>300.0</v>
      </c>
      <c r="BE11" s="46">
        <v>300.0</v>
      </c>
      <c r="BF11" s="45">
        <v>300.0</v>
      </c>
      <c r="BG11" s="45">
        <v>300.0</v>
      </c>
      <c r="BH11" s="45">
        <v>300.0</v>
      </c>
      <c r="BI11" s="45">
        <v>300.0</v>
      </c>
      <c r="BJ11" s="45">
        <v>300.0</v>
      </c>
      <c r="BK11" s="45">
        <v>300.0</v>
      </c>
      <c r="BL11" s="45">
        <v>300.0</v>
      </c>
      <c r="BM11" s="45">
        <v>300.0</v>
      </c>
      <c r="BN11" s="45">
        <v>300.0</v>
      </c>
      <c r="BO11" s="45">
        <v>300.0</v>
      </c>
      <c r="BP11" s="45">
        <v>300.0</v>
      </c>
      <c r="BQ11" s="45">
        <v>300.0</v>
      </c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4">
        <v>1500.0</v>
      </c>
      <c r="CE11" s="44">
        <v>1500.0</v>
      </c>
      <c r="CF11" s="55">
        <v>1200.0</v>
      </c>
    </row>
    <row r="12" ht="13.5" customHeight="1">
      <c r="A12" s="61" t="s">
        <v>89</v>
      </c>
      <c r="B12" s="39">
        <v>5.0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42">
        <v>25.3</v>
      </c>
      <c r="P12" s="43"/>
      <c r="Q12" s="43"/>
      <c r="R12" s="43"/>
      <c r="S12" s="43"/>
      <c r="T12" s="43"/>
      <c r="U12" s="43"/>
      <c r="V12" s="44">
        <v>700.0</v>
      </c>
      <c r="W12" s="44">
        <v>700.0</v>
      </c>
      <c r="X12" s="44">
        <v>700.0</v>
      </c>
      <c r="Y12" s="44">
        <v>700.0</v>
      </c>
      <c r="Z12" s="44">
        <v>700.0</v>
      </c>
      <c r="AA12" s="44">
        <v>700.0</v>
      </c>
      <c r="AB12" s="44">
        <v>700.0</v>
      </c>
      <c r="AC12" s="44">
        <v>700.0</v>
      </c>
      <c r="AD12" s="53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43"/>
      <c r="AX12" s="43"/>
      <c r="AY12" s="43"/>
      <c r="AZ12" s="45">
        <v>150.0</v>
      </c>
      <c r="BA12" s="45">
        <v>300.0</v>
      </c>
      <c r="BB12" s="45">
        <v>300.0</v>
      </c>
      <c r="BC12" s="45">
        <v>300.0</v>
      </c>
      <c r="BD12" s="45">
        <v>300.0</v>
      </c>
      <c r="BE12" s="46">
        <v>300.0</v>
      </c>
      <c r="BF12" s="45">
        <v>300.0</v>
      </c>
      <c r="BG12" s="45">
        <v>300.0</v>
      </c>
      <c r="BH12" s="45">
        <v>300.0</v>
      </c>
      <c r="BI12" s="45">
        <v>300.0</v>
      </c>
      <c r="BJ12" s="45">
        <v>300.0</v>
      </c>
      <c r="BK12" s="45">
        <v>300.0</v>
      </c>
      <c r="BL12" s="45">
        <v>300.0</v>
      </c>
      <c r="BM12" s="45">
        <v>300.0</v>
      </c>
      <c r="BN12" s="45">
        <v>300.0</v>
      </c>
      <c r="BO12" s="45">
        <v>300.0</v>
      </c>
      <c r="BP12" s="45">
        <v>300.0</v>
      </c>
      <c r="BQ12" s="45">
        <v>300.0</v>
      </c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3"/>
      <c r="CE12" s="43"/>
      <c r="CF12" s="43"/>
    </row>
    <row r="13" ht="13.5" customHeight="1">
      <c r="A13" s="61" t="s">
        <v>90</v>
      </c>
      <c r="B13" s="39">
        <v>5.0</v>
      </c>
      <c r="C13" s="44">
        <v>150.0</v>
      </c>
      <c r="D13" s="44">
        <v>150.0</v>
      </c>
      <c r="E13" s="44">
        <v>150.0</v>
      </c>
      <c r="F13" s="44">
        <v>150.0</v>
      </c>
      <c r="G13" s="44">
        <v>150.0</v>
      </c>
      <c r="H13" s="44">
        <v>300.0</v>
      </c>
      <c r="I13" s="44">
        <v>300.0</v>
      </c>
      <c r="J13" s="44">
        <v>300.0</v>
      </c>
      <c r="K13" s="44">
        <v>300.0</v>
      </c>
      <c r="L13" s="44">
        <v>150.0</v>
      </c>
      <c r="M13" s="34"/>
      <c r="N13" s="34"/>
      <c r="O13" s="62" t="s">
        <v>91</v>
      </c>
      <c r="P13" s="28"/>
      <c r="Q13" s="63"/>
      <c r="R13" s="63"/>
      <c r="S13" s="63"/>
      <c r="T13" s="43">
        <v>1.5</v>
      </c>
      <c r="U13" s="43"/>
      <c r="V13" s="43"/>
      <c r="W13" s="43"/>
      <c r="X13" s="43"/>
      <c r="Y13" s="43"/>
      <c r="Z13" s="44">
        <v>500.0</v>
      </c>
      <c r="AA13" s="44">
        <v>750.0</v>
      </c>
      <c r="AB13" s="44">
        <v>1500.0</v>
      </c>
      <c r="AC13" s="44">
        <v>1500.0</v>
      </c>
      <c r="AD13" s="55">
        <v>1200.0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64">
        <v>250.0</v>
      </c>
      <c r="AX13" s="64">
        <v>400.0</v>
      </c>
      <c r="AY13" s="64">
        <v>400.0</v>
      </c>
      <c r="AZ13" s="64">
        <v>700.0</v>
      </c>
      <c r="BA13" s="64">
        <v>700.0</v>
      </c>
      <c r="BB13" s="64">
        <v>700.0</v>
      </c>
      <c r="BC13" s="64">
        <v>700.0</v>
      </c>
      <c r="BD13" s="64">
        <v>500.0</v>
      </c>
      <c r="BE13" s="64">
        <v>400.0</v>
      </c>
      <c r="BF13" s="64">
        <v>400.0</v>
      </c>
      <c r="BG13" s="64">
        <v>400.0</v>
      </c>
      <c r="BH13" s="12"/>
      <c r="BI13" s="12"/>
      <c r="BJ13" s="12"/>
      <c r="BK13" s="12"/>
      <c r="BL13" s="12"/>
      <c r="BM13" s="34"/>
      <c r="BN13" s="34"/>
      <c r="BO13" s="12"/>
      <c r="BP13" s="28"/>
      <c r="BQ13" s="63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65"/>
      <c r="CE13" s="66"/>
      <c r="CF13" s="42">
        <v>21.7</v>
      </c>
    </row>
    <row r="14" ht="13.5" customHeight="1">
      <c r="A14" s="61" t="s">
        <v>92</v>
      </c>
      <c r="B14" s="39">
        <v>5.0</v>
      </c>
      <c r="C14" s="44">
        <v>150.0</v>
      </c>
      <c r="D14" s="44">
        <v>150.0</v>
      </c>
      <c r="E14" s="44">
        <v>150.0</v>
      </c>
      <c r="F14" s="44">
        <v>150.0</v>
      </c>
      <c r="G14" s="44">
        <v>150.0</v>
      </c>
      <c r="H14" s="44">
        <v>300.0</v>
      </c>
      <c r="I14" s="44">
        <v>300.0</v>
      </c>
      <c r="J14" s="44">
        <v>300.0</v>
      </c>
      <c r="K14" s="44">
        <v>300.0</v>
      </c>
      <c r="L14" s="44">
        <v>150.0</v>
      </c>
      <c r="M14" s="34"/>
      <c r="N14" s="34"/>
      <c r="O14" s="62" t="s">
        <v>91</v>
      </c>
      <c r="P14" s="28"/>
      <c r="Q14" s="28"/>
      <c r="R14" s="42">
        <v>20.4</v>
      </c>
      <c r="S14" s="43"/>
      <c r="T14" s="43"/>
      <c r="U14" s="43"/>
      <c r="V14" s="43"/>
      <c r="W14" s="43"/>
      <c r="X14" s="44">
        <v>500.0</v>
      </c>
      <c r="Y14" s="44">
        <v>750.0</v>
      </c>
      <c r="Z14" s="44">
        <v>1500.0</v>
      </c>
      <c r="AA14" s="44">
        <v>1500.0</v>
      </c>
      <c r="AB14" s="55">
        <v>1200.0</v>
      </c>
      <c r="AC14" s="66"/>
      <c r="AD14" s="66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64">
        <v>250.0</v>
      </c>
      <c r="AX14" s="64">
        <v>400.0</v>
      </c>
      <c r="AY14" s="64">
        <v>400.0</v>
      </c>
      <c r="AZ14" s="64">
        <v>700.0</v>
      </c>
      <c r="BA14" s="64">
        <v>700.0</v>
      </c>
      <c r="BB14" s="64">
        <v>700.0</v>
      </c>
      <c r="BC14" s="64">
        <v>700.0</v>
      </c>
      <c r="BD14" s="64">
        <v>500.0</v>
      </c>
      <c r="BE14" s="64">
        <v>400.0</v>
      </c>
      <c r="BF14" s="64">
        <v>400.0</v>
      </c>
      <c r="BG14" s="64">
        <v>400.0</v>
      </c>
      <c r="BH14" s="12"/>
      <c r="BI14" s="12"/>
      <c r="BJ14" s="12"/>
      <c r="BK14" s="12"/>
      <c r="BL14" s="12"/>
      <c r="BM14" s="12"/>
      <c r="BN14" s="12"/>
      <c r="BO14" s="12"/>
      <c r="BP14" s="28"/>
      <c r="BQ14" s="28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66"/>
      <c r="CE14" s="47"/>
      <c r="CF14" s="42">
        <v>21.7</v>
      </c>
    </row>
    <row r="15" ht="13.5" customHeight="1">
      <c r="A15" s="48" t="s">
        <v>93</v>
      </c>
      <c r="B15" s="61">
        <v>5.0</v>
      </c>
      <c r="C15" s="34"/>
      <c r="D15" s="34"/>
      <c r="E15" s="34"/>
      <c r="F15" s="34"/>
      <c r="G15" s="34"/>
      <c r="H15" s="34"/>
      <c r="I15" s="59">
        <v>10.2</v>
      </c>
      <c r="J15" s="43"/>
      <c r="K15" s="43"/>
      <c r="L15" s="43"/>
      <c r="M15" s="43"/>
      <c r="N15" s="43"/>
      <c r="O15" s="43"/>
      <c r="P15" s="43"/>
      <c r="Q15" s="43"/>
      <c r="R15" s="43"/>
      <c r="S15" s="44">
        <v>500.0</v>
      </c>
      <c r="T15" s="44">
        <v>1000.0</v>
      </c>
      <c r="U15" s="44">
        <v>1000.0</v>
      </c>
      <c r="V15" s="44">
        <v>500.0</v>
      </c>
      <c r="W15" s="44">
        <v>500.0</v>
      </c>
      <c r="X15" s="44">
        <v>500.0</v>
      </c>
      <c r="Y15" s="44">
        <v>500.0</v>
      </c>
      <c r="Z15" s="44">
        <v>500.0</v>
      </c>
      <c r="AA15" s="66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42" t="s">
        <v>94</v>
      </c>
      <c r="AT15" s="43"/>
      <c r="AU15" s="43"/>
      <c r="AV15" s="43"/>
      <c r="AW15" s="45">
        <v>300.0</v>
      </c>
      <c r="AX15" s="45">
        <v>300.0</v>
      </c>
      <c r="AY15" s="46">
        <v>300.0</v>
      </c>
      <c r="AZ15" s="45">
        <v>350.0</v>
      </c>
      <c r="BA15" s="45">
        <v>350.0</v>
      </c>
      <c r="BB15" s="45">
        <v>350.0</v>
      </c>
      <c r="BC15" s="45">
        <v>300.0</v>
      </c>
      <c r="BD15" s="45">
        <v>300.0</v>
      </c>
      <c r="BE15" s="46">
        <v>300.0</v>
      </c>
      <c r="BF15" s="45">
        <v>300.0</v>
      </c>
      <c r="BG15" s="45">
        <v>300.0</v>
      </c>
      <c r="BH15" s="45">
        <v>300.0</v>
      </c>
      <c r="BI15" s="45">
        <v>300.0</v>
      </c>
      <c r="BJ15" s="45">
        <v>300.0</v>
      </c>
      <c r="BK15" s="45">
        <v>300.0</v>
      </c>
      <c r="BL15" s="45">
        <v>300.0</v>
      </c>
      <c r="BM15" s="45">
        <v>300.0</v>
      </c>
      <c r="BN15" s="45">
        <v>300.0</v>
      </c>
      <c r="BO15" s="45">
        <v>300.0</v>
      </c>
      <c r="BP15" s="45">
        <v>300.0</v>
      </c>
      <c r="BQ15" s="45">
        <v>300.0</v>
      </c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4">
        <v>750.0</v>
      </c>
      <c r="CE15" s="44">
        <v>1500.0</v>
      </c>
      <c r="CF15" s="44">
        <v>1500.0</v>
      </c>
    </row>
    <row r="16" ht="13.5" customHeight="1">
      <c r="A16" s="48" t="s">
        <v>95</v>
      </c>
      <c r="B16" s="39">
        <v>5.0</v>
      </c>
      <c r="C16" s="34"/>
      <c r="D16" s="34"/>
      <c r="E16" s="34"/>
      <c r="F16" s="34"/>
      <c r="G16" s="34"/>
      <c r="H16" s="34"/>
      <c r="I16" s="59">
        <v>10.2</v>
      </c>
      <c r="J16" s="43"/>
      <c r="K16" s="43"/>
      <c r="L16" s="43"/>
      <c r="M16" s="43"/>
      <c r="N16" s="43"/>
      <c r="O16" s="43"/>
      <c r="P16" s="43"/>
      <c r="Q16" s="43"/>
      <c r="R16" s="43"/>
      <c r="S16" s="44">
        <v>500.0</v>
      </c>
      <c r="T16" s="44">
        <v>1000.0</v>
      </c>
      <c r="U16" s="44">
        <v>1000.0</v>
      </c>
      <c r="V16" s="44">
        <v>500.0</v>
      </c>
      <c r="W16" s="44">
        <v>500.0</v>
      </c>
      <c r="X16" s="44">
        <v>500.0</v>
      </c>
      <c r="Y16" s="44">
        <v>500.0</v>
      </c>
      <c r="Z16" s="44">
        <v>500.0</v>
      </c>
      <c r="AA16" s="66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59" t="s">
        <v>94</v>
      </c>
      <c r="AT16" s="43"/>
      <c r="AU16" s="43"/>
      <c r="AV16" s="43"/>
      <c r="AW16" s="45">
        <v>300.0</v>
      </c>
      <c r="AX16" s="45">
        <v>300.0</v>
      </c>
      <c r="AY16" s="46">
        <v>300.0</v>
      </c>
      <c r="AZ16" s="45">
        <v>350.0</v>
      </c>
      <c r="BA16" s="45">
        <v>350.0</v>
      </c>
      <c r="BB16" s="45">
        <v>350.0</v>
      </c>
      <c r="BC16" s="45">
        <v>300.0</v>
      </c>
      <c r="BD16" s="45">
        <v>300.0</v>
      </c>
      <c r="BE16" s="46">
        <v>300.0</v>
      </c>
      <c r="BF16" s="45">
        <v>300.0</v>
      </c>
      <c r="BG16" s="45">
        <v>300.0</v>
      </c>
      <c r="BH16" s="45">
        <v>300.0</v>
      </c>
      <c r="BI16" s="45">
        <v>300.0</v>
      </c>
      <c r="BJ16" s="45">
        <v>300.0</v>
      </c>
      <c r="BK16" s="45">
        <v>300.0</v>
      </c>
      <c r="BL16" s="45">
        <v>300.0</v>
      </c>
      <c r="BM16" s="45">
        <v>300.0</v>
      </c>
      <c r="BN16" s="45">
        <v>300.0</v>
      </c>
      <c r="BO16" s="45">
        <v>300.0</v>
      </c>
      <c r="BP16" s="45">
        <v>300.0</v>
      </c>
      <c r="BQ16" s="45">
        <v>300.0</v>
      </c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44">
        <v>500.0</v>
      </c>
      <c r="CE16" s="44">
        <v>750.0</v>
      </c>
      <c r="CF16" s="44">
        <v>1500.0</v>
      </c>
    </row>
    <row r="17" ht="13.5" customHeight="1">
      <c r="A17" s="48" t="s">
        <v>96</v>
      </c>
      <c r="B17" s="68">
        <v>1.0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69"/>
      <c r="BT17" s="70"/>
      <c r="BU17" s="69"/>
      <c r="BV17" s="69"/>
      <c r="BW17" s="70"/>
      <c r="BX17" s="69"/>
      <c r="BY17" s="69"/>
      <c r="BZ17" s="70"/>
      <c r="CA17" s="69"/>
      <c r="CB17" s="69"/>
      <c r="CC17" s="70"/>
      <c r="CD17" s="71">
        <v>300.0</v>
      </c>
      <c r="CE17" s="71">
        <v>300.0</v>
      </c>
      <c r="CF17" s="71">
        <v>300.0</v>
      </c>
    </row>
    <row r="18" ht="13.5" customHeight="1">
      <c r="A18" s="61" t="s">
        <v>97</v>
      </c>
      <c r="B18" s="68">
        <v>5.0</v>
      </c>
      <c r="C18" s="71">
        <v>300.0</v>
      </c>
      <c r="D18" s="71">
        <v>300.0</v>
      </c>
      <c r="E18" s="71">
        <v>300.0</v>
      </c>
      <c r="F18" s="71">
        <v>300.0</v>
      </c>
      <c r="G18" s="71">
        <v>300.0</v>
      </c>
      <c r="H18" s="71">
        <v>300.0</v>
      </c>
      <c r="I18" s="71">
        <v>300.0</v>
      </c>
      <c r="J18" s="71">
        <v>300.0</v>
      </c>
      <c r="K18" s="71">
        <v>300.0</v>
      </c>
      <c r="L18" s="12"/>
      <c r="M18" s="12"/>
      <c r="N18" s="12"/>
      <c r="O18" s="34"/>
      <c r="P18" s="28"/>
      <c r="Q18" s="28"/>
      <c r="R18" s="28"/>
      <c r="S18" s="28"/>
      <c r="T18" s="63"/>
      <c r="U18" s="63"/>
      <c r="V18" s="43">
        <v>14.5</v>
      </c>
      <c r="W18" s="43"/>
      <c r="X18" s="43"/>
      <c r="Y18" s="43"/>
      <c r="Z18" s="43"/>
      <c r="AA18" s="44">
        <v>750.0</v>
      </c>
      <c r="AB18" s="44">
        <v>1500.0</v>
      </c>
      <c r="AC18" s="44">
        <v>1500.0</v>
      </c>
      <c r="AD18" s="55">
        <v>1200.0</v>
      </c>
      <c r="AE18" s="44">
        <v>500.0</v>
      </c>
      <c r="AF18" s="44">
        <v>500.0</v>
      </c>
      <c r="AG18" s="44">
        <v>500.0</v>
      </c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58"/>
      <c r="AV18" s="58"/>
      <c r="AW18" s="42">
        <v>15.11</v>
      </c>
      <c r="AX18" s="42"/>
      <c r="AY18" s="43"/>
      <c r="AZ18" s="43"/>
      <c r="BA18" s="42"/>
      <c r="BB18" s="43"/>
      <c r="BC18" s="43"/>
      <c r="BD18" s="45">
        <v>300.0</v>
      </c>
      <c r="BE18" s="46">
        <v>300.0</v>
      </c>
      <c r="BF18" s="45">
        <v>300.0</v>
      </c>
      <c r="BG18" s="45">
        <v>300.0</v>
      </c>
      <c r="BH18" s="45">
        <v>300.0</v>
      </c>
      <c r="BI18" s="45">
        <v>300.0</v>
      </c>
      <c r="BJ18" s="45">
        <v>300.0</v>
      </c>
      <c r="BK18" s="45">
        <v>300.0</v>
      </c>
      <c r="BL18" s="45">
        <v>300.0</v>
      </c>
      <c r="BM18" s="45">
        <v>300.0</v>
      </c>
      <c r="BN18" s="45">
        <v>300.0</v>
      </c>
      <c r="BO18" s="45">
        <v>300.0</v>
      </c>
      <c r="BP18" s="45">
        <v>300.0</v>
      </c>
      <c r="BQ18" s="45">
        <v>300.0</v>
      </c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55">
        <v>1200.0</v>
      </c>
      <c r="CE18" s="62" t="s">
        <v>91</v>
      </c>
      <c r="CF18" s="72"/>
    </row>
    <row r="19" ht="13.5" customHeight="1">
      <c r="A19" s="63"/>
      <c r="B19" s="73" t="s">
        <v>98</v>
      </c>
      <c r="C19" s="74">
        <f t="shared" ref="C19:BQ19" si="1">SUMPRODUCT(C7:C18,$B7:$B18)</f>
        <v>3750</v>
      </c>
      <c r="D19" s="74">
        <f t="shared" si="1"/>
        <v>3750</v>
      </c>
      <c r="E19" s="74">
        <f t="shared" si="1"/>
        <v>3750</v>
      </c>
      <c r="F19" s="74">
        <f t="shared" si="1"/>
        <v>3750</v>
      </c>
      <c r="G19" s="74">
        <f t="shared" si="1"/>
        <v>3750</v>
      </c>
      <c r="H19" s="74">
        <f t="shared" si="1"/>
        <v>4500</v>
      </c>
      <c r="I19" s="74">
        <f t="shared" si="1"/>
        <v>4602</v>
      </c>
      <c r="J19" s="74">
        <f t="shared" si="1"/>
        <v>4662</v>
      </c>
      <c r="K19" s="74">
        <f t="shared" si="1"/>
        <v>4500</v>
      </c>
      <c r="L19" s="74">
        <f t="shared" si="1"/>
        <v>1543</v>
      </c>
      <c r="M19" s="74">
        <f t="shared" si="1"/>
        <v>0</v>
      </c>
      <c r="N19" s="74">
        <f t="shared" si="1"/>
        <v>0</v>
      </c>
      <c r="O19" s="74">
        <f t="shared" si="1"/>
        <v>126.5</v>
      </c>
      <c r="P19" s="74">
        <f t="shared" si="1"/>
        <v>0</v>
      </c>
      <c r="Q19" s="74">
        <f t="shared" si="1"/>
        <v>5000</v>
      </c>
      <c r="R19" s="74">
        <f t="shared" si="1"/>
        <v>10102</v>
      </c>
      <c r="S19" s="74">
        <f t="shared" si="1"/>
        <v>15000</v>
      </c>
      <c r="T19" s="74">
        <f t="shared" si="1"/>
        <v>20007.5</v>
      </c>
      <c r="U19" s="74">
        <f t="shared" si="1"/>
        <v>20000</v>
      </c>
      <c r="V19" s="74">
        <f t="shared" si="1"/>
        <v>18572.5</v>
      </c>
      <c r="W19" s="74">
        <f t="shared" si="1"/>
        <v>18500</v>
      </c>
      <c r="X19" s="74">
        <f t="shared" si="1"/>
        <v>21142.5</v>
      </c>
      <c r="Y19" s="74">
        <f t="shared" si="1"/>
        <v>22250</v>
      </c>
      <c r="Z19" s="74">
        <f t="shared" si="1"/>
        <v>28500</v>
      </c>
      <c r="AA19" s="74">
        <f t="shared" si="1"/>
        <v>28500</v>
      </c>
      <c r="AB19" s="74">
        <f t="shared" si="1"/>
        <v>27000</v>
      </c>
      <c r="AC19" s="74">
        <f t="shared" si="1"/>
        <v>22250</v>
      </c>
      <c r="AD19" s="74">
        <f t="shared" si="1"/>
        <v>19500</v>
      </c>
      <c r="AE19" s="74">
        <f t="shared" si="1"/>
        <v>10000</v>
      </c>
      <c r="AF19" s="74">
        <f t="shared" si="1"/>
        <v>8500</v>
      </c>
      <c r="AG19" s="74">
        <f t="shared" si="1"/>
        <v>2500</v>
      </c>
      <c r="AH19" s="74">
        <f t="shared" si="1"/>
        <v>0</v>
      </c>
      <c r="AI19" s="74">
        <f t="shared" si="1"/>
        <v>0</v>
      </c>
      <c r="AJ19" s="74">
        <f t="shared" si="1"/>
        <v>0</v>
      </c>
      <c r="AK19" s="74">
        <f t="shared" si="1"/>
        <v>0</v>
      </c>
      <c r="AL19" s="74">
        <f t="shared" si="1"/>
        <v>0</v>
      </c>
      <c r="AM19" s="74">
        <f t="shared" si="1"/>
        <v>0</v>
      </c>
      <c r="AN19" s="74">
        <f t="shared" si="1"/>
        <v>0</v>
      </c>
      <c r="AO19" s="74">
        <f t="shared" si="1"/>
        <v>0</v>
      </c>
      <c r="AP19" s="74">
        <f t="shared" si="1"/>
        <v>0</v>
      </c>
      <c r="AQ19" s="74">
        <f t="shared" si="1"/>
        <v>0</v>
      </c>
      <c r="AR19" s="74">
        <f t="shared" si="1"/>
        <v>0</v>
      </c>
      <c r="AS19" s="74">
        <f t="shared" si="1"/>
        <v>0</v>
      </c>
      <c r="AT19" s="74">
        <f t="shared" si="1"/>
        <v>0</v>
      </c>
      <c r="AU19" s="74">
        <f t="shared" si="1"/>
        <v>0</v>
      </c>
      <c r="AV19" s="74">
        <f t="shared" si="1"/>
        <v>0</v>
      </c>
      <c r="AW19" s="74">
        <f t="shared" si="1"/>
        <v>5575.55</v>
      </c>
      <c r="AX19" s="74">
        <f t="shared" si="1"/>
        <v>7000</v>
      </c>
      <c r="AY19" s="74">
        <f t="shared" si="1"/>
        <v>11500</v>
      </c>
      <c r="AZ19" s="74">
        <f t="shared" si="1"/>
        <v>19250</v>
      </c>
      <c r="BA19" s="74">
        <f t="shared" si="1"/>
        <v>20000</v>
      </c>
      <c r="BB19" s="74">
        <f t="shared" si="1"/>
        <v>20000</v>
      </c>
      <c r="BC19" s="74">
        <f t="shared" si="1"/>
        <v>19000</v>
      </c>
      <c r="BD19" s="74">
        <f t="shared" si="1"/>
        <v>18500</v>
      </c>
      <c r="BE19" s="74">
        <f t="shared" si="1"/>
        <v>17500</v>
      </c>
      <c r="BF19" s="74">
        <f t="shared" si="1"/>
        <v>17500</v>
      </c>
      <c r="BG19" s="74">
        <f t="shared" si="1"/>
        <v>17500</v>
      </c>
      <c r="BH19" s="74">
        <f t="shared" si="1"/>
        <v>13500</v>
      </c>
      <c r="BI19" s="74">
        <f t="shared" si="1"/>
        <v>13500</v>
      </c>
      <c r="BJ19" s="74">
        <f t="shared" si="1"/>
        <v>13500</v>
      </c>
      <c r="BK19" s="74">
        <f t="shared" si="1"/>
        <v>13500</v>
      </c>
      <c r="BL19" s="74">
        <f t="shared" si="1"/>
        <v>13500</v>
      </c>
      <c r="BM19" s="74">
        <f t="shared" si="1"/>
        <v>13500</v>
      </c>
      <c r="BN19" s="74">
        <f t="shared" si="1"/>
        <v>13500</v>
      </c>
      <c r="BO19" s="74">
        <f t="shared" si="1"/>
        <v>13500</v>
      </c>
      <c r="BP19" s="74">
        <f t="shared" si="1"/>
        <v>13500</v>
      </c>
      <c r="BQ19" s="74">
        <f t="shared" si="1"/>
        <v>13500</v>
      </c>
      <c r="BR19" s="74">
        <f t="shared" ref="BR19:CF19" si="2">SUMPRODUCT(BR9:BR18,$B9:$B18)</f>
        <v>0</v>
      </c>
      <c r="BS19" s="74">
        <f t="shared" si="2"/>
        <v>0</v>
      </c>
      <c r="BT19" s="74">
        <f t="shared" si="2"/>
        <v>0</v>
      </c>
      <c r="BU19" s="74">
        <f t="shared" si="2"/>
        <v>0</v>
      </c>
      <c r="BV19" s="74">
        <f t="shared" si="2"/>
        <v>0</v>
      </c>
      <c r="BW19" s="74">
        <f t="shared" si="2"/>
        <v>0</v>
      </c>
      <c r="BX19" s="74">
        <f t="shared" si="2"/>
        <v>0</v>
      </c>
      <c r="BY19" s="74">
        <f t="shared" si="2"/>
        <v>0</v>
      </c>
      <c r="BZ19" s="74">
        <f t="shared" si="2"/>
        <v>0</v>
      </c>
      <c r="CA19" s="74">
        <f t="shared" si="2"/>
        <v>0</v>
      </c>
      <c r="CB19" s="74">
        <f t="shared" si="2"/>
        <v>0</v>
      </c>
      <c r="CC19" s="74">
        <f t="shared" si="2"/>
        <v>0</v>
      </c>
      <c r="CD19" s="74">
        <f t="shared" si="2"/>
        <v>27550</v>
      </c>
      <c r="CE19" s="74">
        <f t="shared" si="2"/>
        <v>25050</v>
      </c>
      <c r="CF19" s="74">
        <f t="shared" si="2"/>
        <v>21517</v>
      </c>
    </row>
    <row r="20" ht="13.5" customHeight="1">
      <c r="A20" s="63"/>
      <c r="B20" s="75" t="s">
        <v>99</v>
      </c>
      <c r="C20" s="76">
        <f t="shared" ref="C20:CF20" si="3">C19/690</f>
        <v>5.434782609</v>
      </c>
      <c r="D20" s="76">
        <f t="shared" si="3"/>
        <v>5.434782609</v>
      </c>
      <c r="E20" s="76">
        <f t="shared" si="3"/>
        <v>5.434782609</v>
      </c>
      <c r="F20" s="76">
        <f t="shared" si="3"/>
        <v>5.434782609</v>
      </c>
      <c r="G20" s="76">
        <f t="shared" si="3"/>
        <v>5.434782609</v>
      </c>
      <c r="H20" s="76">
        <f t="shared" si="3"/>
        <v>6.52173913</v>
      </c>
      <c r="I20" s="76">
        <f t="shared" si="3"/>
        <v>6.669565217</v>
      </c>
      <c r="J20" s="76">
        <f t="shared" si="3"/>
        <v>6.756521739</v>
      </c>
      <c r="K20" s="76">
        <f t="shared" si="3"/>
        <v>6.52173913</v>
      </c>
      <c r="L20" s="76">
        <f t="shared" si="3"/>
        <v>2.236231884</v>
      </c>
      <c r="M20" s="76">
        <f t="shared" si="3"/>
        <v>0</v>
      </c>
      <c r="N20" s="76">
        <f t="shared" si="3"/>
        <v>0</v>
      </c>
      <c r="O20" s="76">
        <f t="shared" si="3"/>
        <v>0.1833333333</v>
      </c>
      <c r="P20" s="76">
        <f t="shared" si="3"/>
        <v>0</v>
      </c>
      <c r="Q20" s="76">
        <f t="shared" si="3"/>
        <v>7.246376812</v>
      </c>
      <c r="R20" s="76">
        <f t="shared" si="3"/>
        <v>14.64057971</v>
      </c>
      <c r="S20" s="76">
        <f t="shared" si="3"/>
        <v>21.73913043</v>
      </c>
      <c r="T20" s="76">
        <f t="shared" si="3"/>
        <v>28.99637681</v>
      </c>
      <c r="U20" s="76">
        <f t="shared" si="3"/>
        <v>28.98550725</v>
      </c>
      <c r="V20" s="76">
        <f t="shared" si="3"/>
        <v>26.91666667</v>
      </c>
      <c r="W20" s="76">
        <f t="shared" si="3"/>
        <v>26.8115942</v>
      </c>
      <c r="X20" s="76">
        <f t="shared" si="3"/>
        <v>30.64130435</v>
      </c>
      <c r="Y20" s="76">
        <f t="shared" si="3"/>
        <v>32.24637681</v>
      </c>
      <c r="Z20" s="76">
        <f t="shared" si="3"/>
        <v>41.30434783</v>
      </c>
      <c r="AA20" s="76">
        <f t="shared" si="3"/>
        <v>41.30434783</v>
      </c>
      <c r="AB20" s="76">
        <f t="shared" si="3"/>
        <v>39.13043478</v>
      </c>
      <c r="AC20" s="76">
        <f t="shared" si="3"/>
        <v>32.24637681</v>
      </c>
      <c r="AD20" s="76">
        <f t="shared" si="3"/>
        <v>28.26086957</v>
      </c>
      <c r="AE20" s="76">
        <f t="shared" si="3"/>
        <v>14.49275362</v>
      </c>
      <c r="AF20" s="76">
        <f t="shared" si="3"/>
        <v>12.31884058</v>
      </c>
      <c r="AG20" s="76">
        <f t="shared" si="3"/>
        <v>3.623188406</v>
      </c>
      <c r="AH20" s="76">
        <f t="shared" si="3"/>
        <v>0</v>
      </c>
      <c r="AI20" s="76">
        <f t="shared" si="3"/>
        <v>0</v>
      </c>
      <c r="AJ20" s="76">
        <f t="shared" si="3"/>
        <v>0</v>
      </c>
      <c r="AK20" s="76">
        <f t="shared" si="3"/>
        <v>0</v>
      </c>
      <c r="AL20" s="76">
        <f t="shared" si="3"/>
        <v>0</v>
      </c>
      <c r="AM20" s="76">
        <f t="shared" si="3"/>
        <v>0</v>
      </c>
      <c r="AN20" s="76">
        <f t="shared" si="3"/>
        <v>0</v>
      </c>
      <c r="AO20" s="76">
        <f t="shared" si="3"/>
        <v>0</v>
      </c>
      <c r="AP20" s="76">
        <f t="shared" si="3"/>
        <v>0</v>
      </c>
      <c r="AQ20" s="76">
        <f t="shared" si="3"/>
        <v>0</v>
      </c>
      <c r="AR20" s="76">
        <f t="shared" si="3"/>
        <v>0</v>
      </c>
      <c r="AS20" s="76">
        <f t="shared" si="3"/>
        <v>0</v>
      </c>
      <c r="AT20" s="76">
        <f t="shared" si="3"/>
        <v>0</v>
      </c>
      <c r="AU20" s="76">
        <f t="shared" si="3"/>
        <v>0</v>
      </c>
      <c r="AV20" s="76">
        <f t="shared" si="3"/>
        <v>0</v>
      </c>
      <c r="AW20" s="76">
        <f t="shared" si="3"/>
        <v>8.080507246</v>
      </c>
      <c r="AX20" s="76">
        <f t="shared" si="3"/>
        <v>10.14492754</v>
      </c>
      <c r="AY20" s="76">
        <f t="shared" si="3"/>
        <v>16.66666667</v>
      </c>
      <c r="AZ20" s="76">
        <f t="shared" si="3"/>
        <v>27.89855072</v>
      </c>
      <c r="BA20" s="76">
        <f t="shared" si="3"/>
        <v>28.98550725</v>
      </c>
      <c r="BB20" s="76">
        <f t="shared" si="3"/>
        <v>28.98550725</v>
      </c>
      <c r="BC20" s="76">
        <f t="shared" si="3"/>
        <v>27.53623188</v>
      </c>
      <c r="BD20" s="76">
        <f t="shared" si="3"/>
        <v>26.8115942</v>
      </c>
      <c r="BE20" s="76">
        <f t="shared" si="3"/>
        <v>25.36231884</v>
      </c>
      <c r="BF20" s="76">
        <f t="shared" si="3"/>
        <v>25.36231884</v>
      </c>
      <c r="BG20" s="76">
        <f t="shared" si="3"/>
        <v>25.36231884</v>
      </c>
      <c r="BH20" s="76">
        <f t="shared" si="3"/>
        <v>19.56521739</v>
      </c>
      <c r="BI20" s="76">
        <f t="shared" si="3"/>
        <v>19.56521739</v>
      </c>
      <c r="BJ20" s="76">
        <f t="shared" si="3"/>
        <v>19.56521739</v>
      </c>
      <c r="BK20" s="76">
        <f t="shared" si="3"/>
        <v>19.56521739</v>
      </c>
      <c r="BL20" s="76">
        <f t="shared" si="3"/>
        <v>19.56521739</v>
      </c>
      <c r="BM20" s="76">
        <f t="shared" si="3"/>
        <v>19.56521739</v>
      </c>
      <c r="BN20" s="76">
        <f t="shared" si="3"/>
        <v>19.56521739</v>
      </c>
      <c r="BO20" s="76">
        <f t="shared" si="3"/>
        <v>19.56521739</v>
      </c>
      <c r="BP20" s="76">
        <f t="shared" si="3"/>
        <v>19.56521739</v>
      </c>
      <c r="BQ20" s="76">
        <f t="shared" si="3"/>
        <v>19.56521739</v>
      </c>
      <c r="BR20" s="76">
        <f t="shared" si="3"/>
        <v>0</v>
      </c>
      <c r="BS20" s="76">
        <f t="shared" si="3"/>
        <v>0</v>
      </c>
      <c r="BT20" s="76">
        <f t="shared" si="3"/>
        <v>0</v>
      </c>
      <c r="BU20" s="76">
        <f t="shared" si="3"/>
        <v>0</v>
      </c>
      <c r="BV20" s="76">
        <f t="shared" si="3"/>
        <v>0</v>
      </c>
      <c r="BW20" s="76">
        <f t="shared" si="3"/>
        <v>0</v>
      </c>
      <c r="BX20" s="76">
        <f t="shared" si="3"/>
        <v>0</v>
      </c>
      <c r="BY20" s="76">
        <f t="shared" si="3"/>
        <v>0</v>
      </c>
      <c r="BZ20" s="76">
        <f t="shared" si="3"/>
        <v>0</v>
      </c>
      <c r="CA20" s="76">
        <f t="shared" si="3"/>
        <v>0</v>
      </c>
      <c r="CB20" s="76">
        <f t="shared" si="3"/>
        <v>0</v>
      </c>
      <c r="CC20" s="76">
        <f t="shared" si="3"/>
        <v>0</v>
      </c>
      <c r="CD20" s="76">
        <f t="shared" si="3"/>
        <v>39.92753623</v>
      </c>
      <c r="CE20" s="76">
        <f t="shared" si="3"/>
        <v>36.30434783</v>
      </c>
      <c r="CF20" s="76">
        <f t="shared" si="3"/>
        <v>31.18405797</v>
      </c>
    </row>
    <row r="21" ht="13.5" customHeight="1">
      <c r="A21" s="63"/>
      <c r="B21" s="77" t="s">
        <v>100</v>
      </c>
      <c r="C21" s="78">
        <f t="shared" ref="C21:CF21" si="4">C19*3</f>
        <v>11250</v>
      </c>
      <c r="D21" s="78">
        <f t="shared" si="4"/>
        <v>11250</v>
      </c>
      <c r="E21" s="78">
        <f t="shared" si="4"/>
        <v>11250</v>
      </c>
      <c r="F21" s="78">
        <f t="shared" si="4"/>
        <v>11250</v>
      </c>
      <c r="G21" s="78">
        <f t="shared" si="4"/>
        <v>11250</v>
      </c>
      <c r="H21" s="78">
        <f t="shared" si="4"/>
        <v>13500</v>
      </c>
      <c r="I21" s="78">
        <f t="shared" si="4"/>
        <v>13806</v>
      </c>
      <c r="J21" s="78">
        <f t="shared" si="4"/>
        <v>13986</v>
      </c>
      <c r="K21" s="78">
        <f t="shared" si="4"/>
        <v>13500</v>
      </c>
      <c r="L21" s="78">
        <f t="shared" si="4"/>
        <v>4629</v>
      </c>
      <c r="M21" s="78">
        <f t="shared" si="4"/>
        <v>0</v>
      </c>
      <c r="N21" s="78">
        <f t="shared" si="4"/>
        <v>0</v>
      </c>
      <c r="O21" s="78">
        <f t="shared" si="4"/>
        <v>379.5</v>
      </c>
      <c r="P21" s="78">
        <f t="shared" si="4"/>
        <v>0</v>
      </c>
      <c r="Q21" s="78">
        <f t="shared" si="4"/>
        <v>15000</v>
      </c>
      <c r="R21" s="78">
        <f t="shared" si="4"/>
        <v>30306</v>
      </c>
      <c r="S21" s="78">
        <f t="shared" si="4"/>
        <v>45000</v>
      </c>
      <c r="T21" s="78">
        <f t="shared" si="4"/>
        <v>60022.5</v>
      </c>
      <c r="U21" s="78">
        <f t="shared" si="4"/>
        <v>60000</v>
      </c>
      <c r="V21" s="78">
        <f t="shared" si="4"/>
        <v>55717.5</v>
      </c>
      <c r="W21" s="78">
        <f t="shared" si="4"/>
        <v>55500</v>
      </c>
      <c r="X21" s="78">
        <f t="shared" si="4"/>
        <v>63427.5</v>
      </c>
      <c r="Y21" s="78">
        <f t="shared" si="4"/>
        <v>66750</v>
      </c>
      <c r="Z21" s="78">
        <f t="shared" si="4"/>
        <v>85500</v>
      </c>
      <c r="AA21" s="78">
        <f t="shared" si="4"/>
        <v>85500</v>
      </c>
      <c r="AB21" s="78">
        <f t="shared" si="4"/>
        <v>81000</v>
      </c>
      <c r="AC21" s="78">
        <f t="shared" si="4"/>
        <v>66750</v>
      </c>
      <c r="AD21" s="78">
        <f t="shared" si="4"/>
        <v>58500</v>
      </c>
      <c r="AE21" s="78">
        <f t="shared" si="4"/>
        <v>30000</v>
      </c>
      <c r="AF21" s="78">
        <f t="shared" si="4"/>
        <v>25500</v>
      </c>
      <c r="AG21" s="78">
        <f t="shared" si="4"/>
        <v>7500</v>
      </c>
      <c r="AH21" s="78">
        <f t="shared" si="4"/>
        <v>0</v>
      </c>
      <c r="AI21" s="78">
        <f t="shared" si="4"/>
        <v>0</v>
      </c>
      <c r="AJ21" s="78">
        <f t="shared" si="4"/>
        <v>0</v>
      </c>
      <c r="AK21" s="78">
        <f t="shared" si="4"/>
        <v>0</v>
      </c>
      <c r="AL21" s="78">
        <f t="shared" si="4"/>
        <v>0</v>
      </c>
      <c r="AM21" s="78">
        <f t="shared" si="4"/>
        <v>0</v>
      </c>
      <c r="AN21" s="78">
        <f t="shared" si="4"/>
        <v>0</v>
      </c>
      <c r="AO21" s="78">
        <f t="shared" si="4"/>
        <v>0</v>
      </c>
      <c r="AP21" s="78">
        <f t="shared" si="4"/>
        <v>0</v>
      </c>
      <c r="AQ21" s="78">
        <f t="shared" si="4"/>
        <v>0</v>
      </c>
      <c r="AR21" s="78">
        <f t="shared" si="4"/>
        <v>0</v>
      </c>
      <c r="AS21" s="78">
        <f t="shared" si="4"/>
        <v>0</v>
      </c>
      <c r="AT21" s="78">
        <f t="shared" si="4"/>
        <v>0</v>
      </c>
      <c r="AU21" s="78">
        <f t="shared" si="4"/>
        <v>0</v>
      </c>
      <c r="AV21" s="78">
        <f t="shared" si="4"/>
        <v>0</v>
      </c>
      <c r="AW21" s="78">
        <f t="shared" si="4"/>
        <v>16726.65</v>
      </c>
      <c r="AX21" s="78">
        <f t="shared" si="4"/>
        <v>21000</v>
      </c>
      <c r="AY21" s="78">
        <f t="shared" si="4"/>
        <v>34500</v>
      </c>
      <c r="AZ21" s="78">
        <f t="shared" si="4"/>
        <v>57750</v>
      </c>
      <c r="BA21" s="78">
        <f t="shared" si="4"/>
        <v>60000</v>
      </c>
      <c r="BB21" s="78">
        <f t="shared" si="4"/>
        <v>60000</v>
      </c>
      <c r="BC21" s="78">
        <f t="shared" si="4"/>
        <v>57000</v>
      </c>
      <c r="BD21" s="78">
        <f t="shared" si="4"/>
        <v>55500</v>
      </c>
      <c r="BE21" s="78">
        <f t="shared" si="4"/>
        <v>52500</v>
      </c>
      <c r="BF21" s="78">
        <f t="shared" si="4"/>
        <v>52500</v>
      </c>
      <c r="BG21" s="78">
        <f t="shared" si="4"/>
        <v>52500</v>
      </c>
      <c r="BH21" s="78">
        <f t="shared" si="4"/>
        <v>40500</v>
      </c>
      <c r="BI21" s="78">
        <f t="shared" si="4"/>
        <v>40500</v>
      </c>
      <c r="BJ21" s="78">
        <f t="shared" si="4"/>
        <v>40500</v>
      </c>
      <c r="BK21" s="78">
        <f t="shared" si="4"/>
        <v>40500</v>
      </c>
      <c r="BL21" s="78">
        <f t="shared" si="4"/>
        <v>40500</v>
      </c>
      <c r="BM21" s="78">
        <f t="shared" si="4"/>
        <v>40500</v>
      </c>
      <c r="BN21" s="78">
        <f t="shared" si="4"/>
        <v>40500</v>
      </c>
      <c r="BO21" s="78">
        <f t="shared" si="4"/>
        <v>40500</v>
      </c>
      <c r="BP21" s="78">
        <f t="shared" si="4"/>
        <v>40500</v>
      </c>
      <c r="BQ21" s="78">
        <f t="shared" si="4"/>
        <v>40500</v>
      </c>
      <c r="BR21" s="78">
        <f t="shared" si="4"/>
        <v>0</v>
      </c>
      <c r="BS21" s="78">
        <f t="shared" si="4"/>
        <v>0</v>
      </c>
      <c r="BT21" s="78">
        <f t="shared" si="4"/>
        <v>0</v>
      </c>
      <c r="BU21" s="78">
        <f t="shared" si="4"/>
        <v>0</v>
      </c>
      <c r="BV21" s="78">
        <f t="shared" si="4"/>
        <v>0</v>
      </c>
      <c r="BW21" s="78">
        <f t="shared" si="4"/>
        <v>0</v>
      </c>
      <c r="BX21" s="78">
        <f t="shared" si="4"/>
        <v>0</v>
      </c>
      <c r="BY21" s="78">
        <f t="shared" si="4"/>
        <v>0</v>
      </c>
      <c r="BZ21" s="78">
        <f t="shared" si="4"/>
        <v>0</v>
      </c>
      <c r="CA21" s="78">
        <f t="shared" si="4"/>
        <v>0</v>
      </c>
      <c r="CB21" s="78">
        <f t="shared" si="4"/>
        <v>0</v>
      </c>
      <c r="CC21" s="78">
        <f t="shared" si="4"/>
        <v>0</v>
      </c>
      <c r="CD21" s="78">
        <f t="shared" si="4"/>
        <v>82650</v>
      </c>
      <c r="CE21" s="78">
        <f t="shared" si="4"/>
        <v>75150</v>
      </c>
      <c r="CF21" s="78">
        <f t="shared" si="4"/>
        <v>64551</v>
      </c>
    </row>
    <row r="22" ht="13.5" customHeight="1">
      <c r="A22" s="63"/>
      <c r="B22" s="77" t="s">
        <v>101</v>
      </c>
      <c r="C22" s="79">
        <f>C21+D21+E21+F21+G21</f>
        <v>56250</v>
      </c>
      <c r="D22" s="15"/>
      <c r="E22" s="15"/>
      <c r="F22" s="15"/>
      <c r="G22" s="16"/>
      <c r="H22" s="80">
        <f>H21+I21+J21+K21</f>
        <v>54792</v>
      </c>
      <c r="I22" s="15"/>
      <c r="J22" s="15"/>
      <c r="K22" s="16"/>
      <c r="L22" s="81">
        <f>L21+M21+N21+O21</f>
        <v>5008.5</v>
      </c>
      <c r="M22" s="15"/>
      <c r="N22" s="15"/>
      <c r="O22" s="16"/>
      <c r="P22" s="80">
        <f>P21+Q21+R21+S21</f>
        <v>90306</v>
      </c>
      <c r="Q22" s="15"/>
      <c r="R22" s="15"/>
      <c r="S22" s="16"/>
      <c r="T22" s="81">
        <f>T21+U21+V21+W21+X21</f>
        <v>294667.5</v>
      </c>
      <c r="U22" s="15"/>
      <c r="V22" s="15"/>
      <c r="W22" s="15"/>
      <c r="X22" s="16"/>
      <c r="Y22" s="80">
        <f>Y21+Z21+AA21+AB21</f>
        <v>318750</v>
      </c>
      <c r="Z22" s="15"/>
      <c r="AA22" s="15"/>
      <c r="AB22" s="16"/>
      <c r="AC22" s="81">
        <f>AC21+AD21+AE21+AF21</f>
        <v>180750</v>
      </c>
      <c r="AD22" s="15"/>
      <c r="AE22" s="15"/>
      <c r="AF22" s="16"/>
      <c r="AG22" s="82">
        <f>AG21+AH21+AI21+AJ21+AK21</f>
        <v>7500</v>
      </c>
      <c r="AH22" s="15"/>
      <c r="AI22" s="15"/>
      <c r="AJ22" s="15"/>
      <c r="AK22" s="16"/>
      <c r="AL22" s="81">
        <f>AL21+AM21+AN21+AO21</f>
        <v>0</v>
      </c>
      <c r="AM22" s="15"/>
      <c r="AN22" s="15"/>
      <c r="AO22" s="16"/>
      <c r="AP22" s="82">
        <f>AP21+AQ21+AR21+AS21+AT21</f>
        <v>0</v>
      </c>
      <c r="AQ22" s="15"/>
      <c r="AR22" s="15"/>
      <c r="AS22" s="15"/>
      <c r="AT22" s="16"/>
      <c r="AU22" s="81">
        <f>AU21+AV21+AW21+AX21</f>
        <v>37726.65</v>
      </c>
      <c r="AV22" s="15"/>
      <c r="AW22" s="15"/>
      <c r="AX22" s="16"/>
      <c r="AY22" s="82">
        <f>AY21+AZ21+BA21+BB21</f>
        <v>212250</v>
      </c>
      <c r="AZ22" s="15"/>
      <c r="BA22" s="15"/>
      <c r="BB22" s="16"/>
      <c r="BC22" s="79">
        <f>BC21+BD21+BE21+BF21+BG21</f>
        <v>270000</v>
      </c>
      <c r="BD22" s="15"/>
      <c r="BE22" s="15"/>
      <c r="BF22" s="15"/>
      <c r="BG22" s="16"/>
      <c r="BH22" s="80">
        <f>BH21+BI21+BJ21+BK21</f>
        <v>162000</v>
      </c>
      <c r="BI22" s="15"/>
      <c r="BJ22" s="15"/>
      <c r="BK22" s="16"/>
      <c r="BL22" s="81">
        <f>BL21+BM21+BN21+BO21</f>
        <v>162000</v>
      </c>
      <c r="BM22" s="15"/>
      <c r="BN22" s="15"/>
      <c r="BO22" s="16"/>
      <c r="BP22" s="80">
        <f>BP21+BQ21+BR21+BS21</f>
        <v>81000</v>
      </c>
      <c r="BQ22" s="15"/>
      <c r="BR22" s="15"/>
      <c r="BS22" s="16"/>
      <c r="BT22" s="81">
        <f>BT21+BU21+BV21+BW21+BX21</f>
        <v>0</v>
      </c>
      <c r="BU22" s="15"/>
      <c r="BV22" s="15"/>
      <c r="BW22" s="15"/>
      <c r="BX22" s="16"/>
      <c r="BY22" s="80">
        <f>BY21+BZ21+CA21+CB21</f>
        <v>0</v>
      </c>
      <c r="BZ22" s="15"/>
      <c r="CA22" s="15"/>
      <c r="CB22" s="16"/>
      <c r="CC22" s="81">
        <f>CC21+CD21+CE21+CF21</f>
        <v>222351</v>
      </c>
      <c r="CD22" s="15"/>
      <c r="CE22" s="15"/>
      <c r="CF22" s="16"/>
    </row>
    <row r="23" ht="13.5" customHeight="1">
      <c r="A23" s="63"/>
      <c r="B23" s="83" t="s">
        <v>102</v>
      </c>
      <c r="C23" s="84">
        <f>SUM(C22:BB22)</f>
        <v>1258000.65</v>
      </c>
      <c r="D23" s="85"/>
      <c r="E23" s="85"/>
      <c r="F23" s="85"/>
      <c r="G23" s="86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</row>
    <row r="24" ht="13.5" customHeight="1">
      <c r="A24" s="88">
        <f>SUM(C24:BE24)</f>
        <v>125405</v>
      </c>
      <c r="B24" s="89" t="s">
        <v>103</v>
      </c>
      <c r="C24" s="90">
        <v>6990.0</v>
      </c>
      <c r="D24" s="90">
        <v>16409.0</v>
      </c>
      <c r="E24" s="91">
        <v>21660.0</v>
      </c>
      <c r="F24" s="92">
        <v>40173.0</v>
      </c>
      <c r="G24" s="92">
        <v>40173.0</v>
      </c>
      <c r="H24" s="63"/>
      <c r="I24" s="63"/>
      <c r="J24" s="5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</row>
    <row r="25" ht="13.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</row>
    <row r="26" ht="13.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</row>
    <row r="27" ht="20.25" customHeight="1">
      <c r="A27" s="93" t="s">
        <v>104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</row>
    <row r="28">
      <c r="A28" s="1" t="s">
        <v>0</v>
      </c>
      <c r="B28" s="2">
        <v>2026.0</v>
      </c>
      <c r="C28" s="3" t="s">
        <v>1</v>
      </c>
      <c r="D28" s="3"/>
      <c r="E28" s="4"/>
      <c r="F28" s="4"/>
      <c r="G28" s="4"/>
      <c r="H28" s="5" t="s">
        <v>2</v>
      </c>
      <c r="I28" s="6"/>
      <c r="J28" s="6"/>
      <c r="K28" s="6"/>
      <c r="L28" s="3" t="s">
        <v>3</v>
      </c>
      <c r="M28" s="4"/>
      <c r="N28" s="4"/>
      <c r="O28" s="4"/>
      <c r="P28" s="5" t="s">
        <v>4</v>
      </c>
      <c r="Q28" s="6"/>
      <c r="R28" s="6"/>
      <c r="S28" s="6"/>
      <c r="T28" s="3" t="s">
        <v>5</v>
      </c>
      <c r="U28" s="4"/>
      <c r="V28" s="4"/>
      <c r="W28" s="4"/>
      <c r="X28" s="4"/>
      <c r="Y28" s="5" t="s">
        <v>6</v>
      </c>
      <c r="Z28" s="6"/>
      <c r="AA28" s="6"/>
      <c r="AB28" s="6"/>
      <c r="AC28" s="3" t="s">
        <v>7</v>
      </c>
      <c r="AD28" s="4"/>
      <c r="AE28" s="4"/>
      <c r="AF28" s="4"/>
      <c r="AG28" s="5" t="s">
        <v>8</v>
      </c>
      <c r="AH28" s="6"/>
      <c r="AI28" s="6"/>
      <c r="AJ28" s="6"/>
      <c r="AK28" s="6"/>
      <c r="AL28" s="3" t="s">
        <v>9</v>
      </c>
      <c r="AM28" s="4"/>
      <c r="AN28" s="4"/>
      <c r="AO28" s="4"/>
      <c r="AP28" s="5" t="s">
        <v>10</v>
      </c>
      <c r="AQ28" s="6"/>
      <c r="AR28" s="6"/>
      <c r="AS28" s="6"/>
      <c r="AT28" s="6"/>
      <c r="AU28" s="3" t="s">
        <v>11</v>
      </c>
      <c r="AV28" s="4"/>
      <c r="AW28" s="4"/>
      <c r="AX28" s="4"/>
      <c r="AY28" s="5" t="s">
        <v>12</v>
      </c>
      <c r="AZ28" s="6"/>
      <c r="BA28" s="6"/>
      <c r="BB28" s="6"/>
      <c r="BC28" s="3" t="s">
        <v>1</v>
      </c>
      <c r="BD28" s="3"/>
      <c r="BE28" s="4"/>
      <c r="BF28" s="4"/>
      <c r="BG28" s="4"/>
      <c r="BH28" s="5" t="s">
        <v>2</v>
      </c>
      <c r="BI28" s="6"/>
      <c r="BJ28" s="6"/>
      <c r="BK28" s="6"/>
      <c r="BL28" s="3" t="s">
        <v>3</v>
      </c>
      <c r="BM28" s="4"/>
      <c r="BN28" s="4"/>
      <c r="BO28" s="4"/>
      <c r="BP28" s="5" t="s">
        <v>4</v>
      </c>
      <c r="BQ28" s="6"/>
      <c r="BR28" s="6"/>
      <c r="BS28" s="6"/>
      <c r="BT28" s="3" t="s">
        <v>5</v>
      </c>
      <c r="BU28" s="4"/>
      <c r="BV28" s="4"/>
      <c r="BW28" s="4"/>
      <c r="BX28" s="4"/>
      <c r="BY28" s="5" t="s">
        <v>6</v>
      </c>
      <c r="BZ28" s="6"/>
      <c r="CA28" s="6"/>
      <c r="CB28" s="6"/>
      <c r="CC28" s="3" t="s">
        <v>7</v>
      </c>
      <c r="CD28" s="4"/>
      <c r="CE28" s="4"/>
      <c r="CF28" s="4"/>
    </row>
    <row r="29">
      <c r="A29" s="1" t="s">
        <v>13</v>
      </c>
      <c r="B29" s="7"/>
      <c r="C29" s="8" t="s">
        <v>14</v>
      </c>
      <c r="D29" s="8" t="s">
        <v>15</v>
      </c>
      <c r="E29" s="8" t="s">
        <v>16</v>
      </c>
      <c r="F29" s="8" t="s">
        <v>17</v>
      </c>
      <c r="G29" s="8" t="s">
        <v>18</v>
      </c>
      <c r="H29" s="9" t="s">
        <v>19</v>
      </c>
      <c r="I29" s="9" t="s">
        <v>20</v>
      </c>
      <c r="J29" s="9" t="s">
        <v>21</v>
      </c>
      <c r="K29" s="9" t="s">
        <v>22</v>
      </c>
      <c r="L29" s="9" t="s">
        <v>23</v>
      </c>
      <c r="M29" s="9" t="s">
        <v>24</v>
      </c>
      <c r="N29" s="9" t="s">
        <v>25</v>
      </c>
      <c r="O29" s="9" t="s">
        <v>26</v>
      </c>
      <c r="P29" s="9" t="s">
        <v>27</v>
      </c>
      <c r="Q29" s="9" t="s">
        <v>28</v>
      </c>
      <c r="R29" s="9" t="s">
        <v>29</v>
      </c>
      <c r="S29" s="9" t="s">
        <v>30</v>
      </c>
      <c r="T29" s="9" t="s">
        <v>31</v>
      </c>
      <c r="U29" s="9" t="s">
        <v>32</v>
      </c>
      <c r="V29" s="9" t="s">
        <v>33</v>
      </c>
      <c r="W29" s="9" t="s">
        <v>34</v>
      </c>
      <c r="X29" s="9" t="s">
        <v>35</v>
      </c>
      <c r="Y29" s="9" t="s">
        <v>36</v>
      </c>
      <c r="Z29" s="9" t="s">
        <v>37</v>
      </c>
      <c r="AA29" s="9" t="s">
        <v>38</v>
      </c>
      <c r="AB29" s="9" t="s">
        <v>39</v>
      </c>
      <c r="AC29" s="9" t="s">
        <v>40</v>
      </c>
      <c r="AD29" s="9" t="s">
        <v>41</v>
      </c>
      <c r="AE29" s="9" t="s">
        <v>42</v>
      </c>
      <c r="AF29" s="9" t="s">
        <v>43</v>
      </c>
      <c r="AG29" s="9" t="s">
        <v>44</v>
      </c>
      <c r="AH29" s="9" t="s">
        <v>45</v>
      </c>
      <c r="AI29" s="9" t="s">
        <v>46</v>
      </c>
      <c r="AJ29" s="9" t="s">
        <v>47</v>
      </c>
      <c r="AK29" s="9" t="s">
        <v>48</v>
      </c>
      <c r="AL29" s="8" t="s">
        <v>49</v>
      </c>
      <c r="AM29" s="8" t="s">
        <v>50</v>
      </c>
      <c r="AN29" s="8" t="s">
        <v>51</v>
      </c>
      <c r="AO29" s="8" t="s">
        <v>52</v>
      </c>
      <c r="AP29" s="8" t="s">
        <v>53</v>
      </c>
      <c r="AQ29" s="8" t="s">
        <v>54</v>
      </c>
      <c r="AR29" s="8" t="s">
        <v>55</v>
      </c>
      <c r="AS29" s="8" t="s">
        <v>56</v>
      </c>
      <c r="AT29" s="8" t="s">
        <v>57</v>
      </c>
      <c r="AU29" s="8" t="s">
        <v>58</v>
      </c>
      <c r="AV29" s="8" t="s">
        <v>59</v>
      </c>
      <c r="AW29" s="8" t="s">
        <v>60</v>
      </c>
      <c r="AX29" s="8" t="s">
        <v>61</v>
      </c>
      <c r="AY29" s="8" t="s">
        <v>62</v>
      </c>
      <c r="AZ29" s="8" t="s">
        <v>63</v>
      </c>
      <c r="BA29" s="8" t="s">
        <v>64</v>
      </c>
      <c r="BB29" s="8" t="s">
        <v>65</v>
      </c>
      <c r="BC29" s="8" t="s">
        <v>14</v>
      </c>
      <c r="BD29" s="8" t="s">
        <v>15</v>
      </c>
      <c r="BE29" s="8" t="s">
        <v>16</v>
      </c>
      <c r="BF29" s="8" t="s">
        <v>17</v>
      </c>
      <c r="BG29" s="8" t="s">
        <v>18</v>
      </c>
      <c r="BH29" s="9" t="s">
        <v>19</v>
      </c>
      <c r="BI29" s="9" t="s">
        <v>20</v>
      </c>
      <c r="BJ29" s="9" t="s">
        <v>21</v>
      </c>
      <c r="BK29" s="9" t="s">
        <v>22</v>
      </c>
      <c r="BL29" s="9" t="s">
        <v>23</v>
      </c>
      <c r="BM29" s="9" t="s">
        <v>24</v>
      </c>
      <c r="BN29" s="9" t="s">
        <v>25</v>
      </c>
      <c r="BO29" s="9" t="s">
        <v>26</v>
      </c>
      <c r="BP29" s="9" t="s">
        <v>27</v>
      </c>
      <c r="BQ29" s="9" t="s">
        <v>28</v>
      </c>
      <c r="BR29" s="9" t="s">
        <v>29</v>
      </c>
      <c r="BS29" s="9" t="s">
        <v>30</v>
      </c>
      <c r="BT29" s="9" t="s">
        <v>31</v>
      </c>
      <c r="BU29" s="9" t="s">
        <v>32</v>
      </c>
      <c r="BV29" s="9" t="s">
        <v>33</v>
      </c>
      <c r="BW29" s="9" t="s">
        <v>34</v>
      </c>
      <c r="BX29" s="9" t="s">
        <v>35</v>
      </c>
      <c r="BY29" s="9" t="s">
        <v>36</v>
      </c>
      <c r="BZ29" s="9" t="s">
        <v>37</v>
      </c>
      <c r="CA29" s="9" t="s">
        <v>38</v>
      </c>
      <c r="CB29" s="9" t="s">
        <v>39</v>
      </c>
      <c r="CC29" s="9" t="s">
        <v>40</v>
      </c>
      <c r="CD29" s="9" t="s">
        <v>41</v>
      </c>
      <c r="CE29" s="9" t="s">
        <v>42</v>
      </c>
      <c r="CF29" s="9" t="s">
        <v>43</v>
      </c>
    </row>
    <row r="30" ht="13.5" customHeight="1">
      <c r="A30" s="10" t="s">
        <v>66</v>
      </c>
      <c r="B30" s="11"/>
      <c r="C30" s="12"/>
      <c r="D30" s="12"/>
      <c r="E30" s="12"/>
      <c r="F30" s="12"/>
      <c r="G30" s="13"/>
      <c r="H30" s="14" t="s">
        <v>67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  <c r="X30" s="17" t="s">
        <v>68</v>
      </c>
      <c r="Y30" s="15"/>
      <c r="Z30" s="15"/>
      <c r="AA30" s="15"/>
      <c r="AB30" s="15"/>
      <c r="AC30" s="15"/>
      <c r="AD30" s="15"/>
      <c r="AE30" s="15"/>
      <c r="AF30" s="16"/>
      <c r="AG30" s="14" t="s">
        <v>67</v>
      </c>
      <c r="AH30" s="15"/>
      <c r="AI30" s="15"/>
      <c r="AJ30" s="15"/>
      <c r="AK30" s="16"/>
      <c r="AL30" s="18" t="s">
        <v>69</v>
      </c>
      <c r="AM30" s="15"/>
      <c r="AN30" s="15"/>
      <c r="AO30" s="15"/>
      <c r="AP30" s="15"/>
      <c r="AQ30" s="16"/>
      <c r="AR30" s="19" t="s">
        <v>70</v>
      </c>
      <c r="AS30" s="20"/>
      <c r="AT30" s="20"/>
      <c r="AU30" s="20"/>
      <c r="AV30" s="20"/>
      <c r="AW30" s="20"/>
      <c r="AX30" s="20"/>
      <c r="AY30" s="20"/>
      <c r="AZ30" s="20"/>
      <c r="BA30" s="20"/>
      <c r="BB30" s="21"/>
      <c r="BC30" s="12"/>
      <c r="BD30" s="12"/>
      <c r="BE30" s="12"/>
      <c r="BF30" s="12"/>
      <c r="BG30" s="13"/>
      <c r="BH30" s="14" t="s">
        <v>67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6"/>
      <c r="BX30" s="17" t="s">
        <v>68</v>
      </c>
      <c r="BY30" s="15"/>
      <c r="BZ30" s="15"/>
      <c r="CA30" s="15"/>
      <c r="CB30" s="15"/>
      <c r="CC30" s="15"/>
      <c r="CD30" s="15"/>
      <c r="CE30" s="15"/>
      <c r="CF30" s="16"/>
    </row>
    <row r="31" ht="13.5" customHeight="1">
      <c r="A31" s="22" t="s">
        <v>71</v>
      </c>
      <c r="B31" s="23"/>
      <c r="C31" s="12"/>
      <c r="D31" s="12"/>
      <c r="E31" s="12"/>
      <c r="F31" s="12"/>
      <c r="G31" s="1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5" t="s">
        <v>72</v>
      </c>
      <c r="AN31" s="21"/>
      <c r="AO31" s="26" t="s">
        <v>73</v>
      </c>
      <c r="AP31" s="26" t="s">
        <v>74</v>
      </c>
      <c r="AQ31" s="27" t="s">
        <v>75</v>
      </c>
      <c r="AR31" s="28"/>
      <c r="AS31" s="28"/>
      <c r="AT31" s="28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</row>
    <row r="32" ht="13.5" customHeight="1">
      <c r="A32" s="29" t="s">
        <v>76</v>
      </c>
      <c r="B32" s="30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28"/>
      <c r="AK32" s="28"/>
      <c r="AL32" s="28"/>
      <c r="AM32" s="25" t="s">
        <v>77</v>
      </c>
      <c r="AN32" s="21"/>
      <c r="AO32" s="31" t="s">
        <v>78</v>
      </c>
      <c r="AP32" s="32" t="s">
        <v>79</v>
      </c>
      <c r="AQ32" s="33">
        <v>40239.0</v>
      </c>
      <c r="AR32" s="34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</row>
    <row r="33" ht="13.5" customHeight="1">
      <c r="A33" s="35" t="s">
        <v>80</v>
      </c>
      <c r="B33" s="36" t="s">
        <v>81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37"/>
      <c r="CD33" s="37"/>
      <c r="CE33" s="37"/>
      <c r="CF33" s="37"/>
    </row>
    <row r="34" ht="13.5" customHeight="1">
      <c r="A34" s="38" t="s">
        <v>82</v>
      </c>
      <c r="B34" s="39">
        <v>5.0</v>
      </c>
      <c r="C34" s="12"/>
      <c r="D34" s="12"/>
      <c r="E34" s="40" t="s">
        <v>83</v>
      </c>
      <c r="F34" s="41">
        <v>0.0</v>
      </c>
      <c r="G34" s="41">
        <v>0.0</v>
      </c>
      <c r="H34" s="34"/>
      <c r="L34" s="42">
        <v>4.3</v>
      </c>
      <c r="M34" s="43"/>
      <c r="N34" s="43"/>
      <c r="O34" s="43"/>
      <c r="P34" s="43"/>
      <c r="Q34" s="43"/>
      <c r="R34" s="43"/>
      <c r="S34" s="43"/>
      <c r="T34" s="44">
        <v>500.0</v>
      </c>
      <c r="U34" s="44">
        <v>500.0</v>
      </c>
      <c r="V34" s="44">
        <v>500.0</v>
      </c>
      <c r="W34" s="44">
        <v>500.0</v>
      </c>
      <c r="X34" s="44">
        <v>500.0</v>
      </c>
      <c r="Y34" s="44">
        <v>500.0</v>
      </c>
      <c r="Z34" s="44">
        <v>500.0</v>
      </c>
      <c r="AA34" s="44">
        <v>500.0</v>
      </c>
      <c r="AD34" s="42" t="s">
        <v>105</v>
      </c>
      <c r="AE34" s="43"/>
      <c r="AF34" s="43"/>
      <c r="AG34" s="43"/>
      <c r="AH34" s="43"/>
      <c r="AI34" s="44">
        <v>700.0</v>
      </c>
      <c r="AJ34" s="44">
        <v>700.0</v>
      </c>
      <c r="AK34" s="44">
        <v>700.0</v>
      </c>
      <c r="AL34" s="44">
        <v>700.0</v>
      </c>
      <c r="AM34" s="44">
        <v>700.0</v>
      </c>
      <c r="AN34" s="44">
        <v>700.0</v>
      </c>
      <c r="AO34" s="44">
        <v>700.0</v>
      </c>
      <c r="AP34" s="44">
        <v>700.0</v>
      </c>
      <c r="AR34" s="94"/>
      <c r="AS34" s="37"/>
      <c r="AT34" s="42" t="s">
        <v>84</v>
      </c>
      <c r="AU34" s="43"/>
      <c r="AV34" s="43"/>
      <c r="AW34" s="43"/>
      <c r="AX34" s="43"/>
      <c r="AY34" s="45">
        <v>150.0</v>
      </c>
      <c r="AZ34" s="45">
        <v>300.0</v>
      </c>
      <c r="BA34" s="45">
        <v>300.0</v>
      </c>
      <c r="BB34" s="45">
        <v>300.0</v>
      </c>
      <c r="BC34" s="45">
        <v>300.0</v>
      </c>
      <c r="BD34" s="45">
        <v>300.0</v>
      </c>
      <c r="BE34" s="46">
        <v>300.0</v>
      </c>
      <c r="BF34" s="45">
        <v>300.0</v>
      </c>
      <c r="BG34" s="45">
        <v>300.0</v>
      </c>
      <c r="BH34" s="45">
        <v>300.0</v>
      </c>
      <c r="BI34" s="45">
        <v>300.0</v>
      </c>
      <c r="BJ34" s="45">
        <v>300.0</v>
      </c>
      <c r="BK34" s="45">
        <v>300.0</v>
      </c>
      <c r="BL34" s="45">
        <v>300.0</v>
      </c>
      <c r="BM34" s="45">
        <v>300.0</v>
      </c>
      <c r="BN34" s="45">
        <v>300.0</v>
      </c>
      <c r="BO34" s="45">
        <v>300.0</v>
      </c>
      <c r="BP34" s="45">
        <v>300.0</v>
      </c>
      <c r="BQ34" s="45">
        <v>300.0</v>
      </c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</row>
    <row r="35" ht="13.5" customHeight="1">
      <c r="A35" s="48" t="s">
        <v>85</v>
      </c>
      <c r="B35" s="39">
        <v>5.0</v>
      </c>
      <c r="C35" s="12"/>
      <c r="D35" s="12"/>
      <c r="E35" s="40" t="s">
        <v>83</v>
      </c>
      <c r="F35" s="41">
        <v>0.0</v>
      </c>
      <c r="G35" s="41">
        <v>0.0</v>
      </c>
      <c r="H35" s="12"/>
      <c r="L35" s="42">
        <v>4.3</v>
      </c>
      <c r="M35" s="43"/>
      <c r="N35" s="43"/>
      <c r="O35" s="43"/>
      <c r="P35" s="43"/>
      <c r="Q35" s="43"/>
      <c r="R35" s="43"/>
      <c r="S35" s="43"/>
      <c r="T35" s="44">
        <v>500.0</v>
      </c>
      <c r="U35" s="44">
        <v>500.0</v>
      </c>
      <c r="V35" s="44">
        <v>500.0</v>
      </c>
      <c r="W35" s="44">
        <v>500.0</v>
      </c>
      <c r="X35" s="44">
        <v>500.0</v>
      </c>
      <c r="Y35" s="44">
        <v>500.0</v>
      </c>
      <c r="Z35" s="44">
        <v>500.0</v>
      </c>
      <c r="AA35" s="44">
        <v>500.0</v>
      </c>
      <c r="AD35" s="42" t="s">
        <v>105</v>
      </c>
      <c r="AE35" s="43"/>
      <c r="AF35" s="43"/>
      <c r="AG35" s="43"/>
      <c r="AH35" s="43"/>
      <c r="AI35" s="44">
        <v>700.0</v>
      </c>
      <c r="AJ35" s="44">
        <v>700.0</v>
      </c>
      <c r="AK35" s="44">
        <v>700.0</v>
      </c>
      <c r="AL35" s="44">
        <v>700.0</v>
      </c>
      <c r="AM35" s="44">
        <v>700.0</v>
      </c>
      <c r="AN35" s="44">
        <v>700.0</v>
      </c>
      <c r="AO35" s="44">
        <v>700.0</v>
      </c>
      <c r="AP35" s="44">
        <v>700.0</v>
      </c>
      <c r="AR35" s="37"/>
      <c r="AS35" s="49"/>
      <c r="AT35" s="42" t="s">
        <v>84</v>
      </c>
      <c r="AU35" s="43"/>
      <c r="AV35" s="43"/>
      <c r="AW35" s="43"/>
      <c r="AX35" s="43"/>
      <c r="AY35" s="50">
        <v>150.0</v>
      </c>
      <c r="AZ35" s="45">
        <v>350.0</v>
      </c>
      <c r="BA35" s="45">
        <v>350.0</v>
      </c>
      <c r="BB35" s="45">
        <v>350.0</v>
      </c>
      <c r="BC35" s="45">
        <v>300.0</v>
      </c>
      <c r="BD35" s="45">
        <v>300.0</v>
      </c>
      <c r="BE35" s="46">
        <v>300.0</v>
      </c>
      <c r="BF35" s="45">
        <v>300.0</v>
      </c>
      <c r="BG35" s="45">
        <v>300.0</v>
      </c>
      <c r="BH35" s="45">
        <v>300.0</v>
      </c>
      <c r="BI35" s="45">
        <v>300.0</v>
      </c>
      <c r="BJ35" s="45">
        <v>300.0</v>
      </c>
      <c r="BK35" s="45">
        <v>300.0</v>
      </c>
      <c r="BL35" s="45">
        <v>300.0</v>
      </c>
      <c r="BM35" s="45">
        <v>300.0</v>
      </c>
      <c r="BN35" s="45">
        <v>300.0</v>
      </c>
      <c r="BO35" s="45">
        <v>300.0</v>
      </c>
      <c r="BP35" s="45">
        <v>300.0</v>
      </c>
      <c r="BQ35" s="45">
        <v>300.0</v>
      </c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</row>
    <row r="36" ht="13.5" customHeight="1">
      <c r="A36" s="51" t="s">
        <v>86</v>
      </c>
      <c r="B36" s="39">
        <v>5.0</v>
      </c>
      <c r="C36" s="52">
        <v>150.0</v>
      </c>
      <c r="D36" s="52">
        <v>150.0</v>
      </c>
      <c r="E36" s="52">
        <v>150.0</v>
      </c>
      <c r="F36" s="52">
        <v>150.0</v>
      </c>
      <c r="G36" s="52">
        <v>150.0</v>
      </c>
      <c r="H36" s="12"/>
      <c r="L36" s="12"/>
      <c r="P36" s="12"/>
      <c r="T36" s="53"/>
      <c r="U36" s="53"/>
      <c r="V36" s="54"/>
      <c r="W36" s="53"/>
      <c r="X36" s="42">
        <v>28.5</v>
      </c>
      <c r="Y36" s="43"/>
      <c r="Z36" s="43"/>
      <c r="AA36" s="43"/>
      <c r="AB36" s="44">
        <v>500.0</v>
      </c>
      <c r="AC36" s="44">
        <v>750.0</v>
      </c>
      <c r="AD36" s="44">
        <v>1500.0</v>
      </c>
      <c r="AE36" s="44">
        <v>1500.0</v>
      </c>
      <c r="AF36" s="55">
        <v>1200.0</v>
      </c>
      <c r="AL36" s="95">
        <v>1.9</v>
      </c>
      <c r="AM36" s="43"/>
      <c r="AN36" s="43"/>
      <c r="AO36" s="43"/>
      <c r="AP36" s="43"/>
      <c r="AQ36" s="44">
        <v>1000.0</v>
      </c>
      <c r="AR36" s="44">
        <v>1000.0</v>
      </c>
      <c r="AS36" s="44">
        <v>1000.0</v>
      </c>
      <c r="AT36" s="44">
        <v>1000.0</v>
      </c>
      <c r="AU36" s="44">
        <v>1000.0</v>
      </c>
      <c r="AV36" s="56"/>
      <c r="AW36" s="42">
        <v>15.11</v>
      </c>
      <c r="AX36" s="42"/>
      <c r="AY36" s="43"/>
      <c r="AZ36" s="43"/>
      <c r="BA36" s="42"/>
      <c r="BB36" s="43"/>
      <c r="BC36" s="43"/>
      <c r="BD36" s="45">
        <v>300.0</v>
      </c>
      <c r="BE36" s="46">
        <v>300.0</v>
      </c>
      <c r="BF36" s="45">
        <v>300.0</v>
      </c>
      <c r="BG36" s="45">
        <v>300.0</v>
      </c>
      <c r="BH36" s="45">
        <v>300.0</v>
      </c>
      <c r="BI36" s="45">
        <v>300.0</v>
      </c>
      <c r="BJ36" s="45">
        <v>300.0</v>
      </c>
      <c r="BK36" s="45">
        <v>300.0</v>
      </c>
      <c r="BL36" s="45">
        <v>300.0</v>
      </c>
      <c r="BM36" s="45">
        <v>300.0</v>
      </c>
      <c r="BN36" s="45">
        <v>300.0</v>
      </c>
      <c r="BO36" s="45">
        <v>300.0</v>
      </c>
      <c r="BP36" s="45">
        <v>300.0</v>
      </c>
      <c r="BQ36" s="45">
        <v>300.0</v>
      </c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</row>
    <row r="37" ht="13.5" customHeight="1">
      <c r="A37" s="48" t="s">
        <v>87</v>
      </c>
      <c r="B37" s="39">
        <v>5.0</v>
      </c>
      <c r="C37" s="34"/>
      <c r="D37" s="34"/>
      <c r="E37" s="34"/>
      <c r="F37" s="34"/>
      <c r="G37" s="34"/>
      <c r="H37" s="34"/>
      <c r="J37" s="59">
        <v>16.2</v>
      </c>
      <c r="K37" s="43"/>
      <c r="L37" s="43"/>
      <c r="M37" s="43"/>
      <c r="N37" s="43"/>
      <c r="O37" s="43"/>
      <c r="P37" s="43"/>
      <c r="Q37" s="44">
        <v>500.0</v>
      </c>
      <c r="R37" s="44">
        <v>1000.0</v>
      </c>
      <c r="S37" s="44">
        <v>1000.0</v>
      </c>
      <c r="T37" s="44">
        <v>500.0</v>
      </c>
      <c r="U37" s="44">
        <v>500.0</v>
      </c>
      <c r="V37" s="44">
        <v>500.0</v>
      </c>
      <c r="W37" s="44">
        <v>500.0</v>
      </c>
      <c r="X37" s="44">
        <v>500.0</v>
      </c>
      <c r="Y37" s="44">
        <v>500.0</v>
      </c>
      <c r="Z37" s="44">
        <v>500.0</v>
      </c>
      <c r="AA37" s="44">
        <v>500.0</v>
      </c>
      <c r="AB37" s="53"/>
      <c r="AC37" s="42" t="s">
        <v>106</v>
      </c>
      <c r="AD37" s="43"/>
      <c r="AE37" s="43"/>
      <c r="AF37" s="43"/>
      <c r="AG37" s="43"/>
      <c r="AH37" s="44">
        <v>700.0</v>
      </c>
      <c r="AI37" s="44">
        <v>700.0</v>
      </c>
      <c r="AJ37" s="44">
        <v>700.0</v>
      </c>
      <c r="AK37" s="44">
        <v>700.0</v>
      </c>
      <c r="AL37" s="44">
        <v>700.0</v>
      </c>
      <c r="AM37" s="44">
        <v>700.0</v>
      </c>
      <c r="AN37" s="44">
        <v>700.0</v>
      </c>
      <c r="AO37" s="44">
        <v>700.0</v>
      </c>
      <c r="AQ37" s="49"/>
      <c r="AR37" s="58"/>
      <c r="AS37" s="37"/>
      <c r="AT37" s="42" t="s">
        <v>84</v>
      </c>
      <c r="AU37" s="43"/>
      <c r="AV37" s="43"/>
      <c r="AW37" s="43"/>
      <c r="AX37" s="43"/>
      <c r="AY37" s="45">
        <v>150.0</v>
      </c>
      <c r="AZ37" s="45">
        <v>300.0</v>
      </c>
      <c r="BA37" s="45">
        <v>300.0</v>
      </c>
      <c r="BB37" s="45">
        <v>300.0</v>
      </c>
      <c r="BC37" s="45">
        <v>300.0</v>
      </c>
      <c r="BD37" s="45">
        <v>300.0</v>
      </c>
      <c r="BE37" s="46">
        <v>300.0</v>
      </c>
      <c r="BF37" s="45">
        <v>300.0</v>
      </c>
      <c r="BG37" s="45">
        <v>300.0</v>
      </c>
      <c r="BH37" s="45">
        <v>300.0</v>
      </c>
      <c r="BI37" s="45">
        <v>300.0</v>
      </c>
      <c r="BJ37" s="45">
        <v>300.0</v>
      </c>
      <c r="BK37" s="45">
        <v>300.0</v>
      </c>
      <c r="BL37" s="45">
        <v>300.0</v>
      </c>
      <c r="BM37" s="45">
        <v>300.0</v>
      </c>
      <c r="BN37" s="45">
        <v>300.0</v>
      </c>
      <c r="BO37" s="45">
        <v>300.0</v>
      </c>
      <c r="BP37" s="45">
        <v>300.0</v>
      </c>
      <c r="BQ37" s="45">
        <v>300.0</v>
      </c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</row>
    <row r="38" ht="13.5" customHeight="1">
      <c r="A38" s="48" t="s">
        <v>88</v>
      </c>
      <c r="B38" s="39">
        <v>5.0</v>
      </c>
      <c r="C38" s="34"/>
      <c r="D38" s="34"/>
      <c r="E38" s="34"/>
      <c r="F38" s="34"/>
      <c r="G38" s="34"/>
      <c r="H38" s="34"/>
      <c r="J38" s="59">
        <v>16.2</v>
      </c>
      <c r="K38" s="43"/>
      <c r="L38" s="43"/>
      <c r="M38" s="43"/>
      <c r="N38" s="43"/>
      <c r="O38" s="43"/>
      <c r="P38" s="43"/>
      <c r="Q38" s="44">
        <v>500.0</v>
      </c>
      <c r="R38" s="44">
        <v>1000.0</v>
      </c>
      <c r="S38" s="44">
        <v>1000.0</v>
      </c>
      <c r="T38" s="44">
        <v>500.0</v>
      </c>
      <c r="U38" s="44">
        <v>500.0</v>
      </c>
      <c r="V38" s="44">
        <v>500.0</v>
      </c>
      <c r="W38" s="44">
        <v>500.0</v>
      </c>
      <c r="X38" s="44">
        <v>500.0</v>
      </c>
      <c r="Y38" s="44">
        <v>500.0</v>
      </c>
      <c r="Z38" s="44">
        <v>500.0</v>
      </c>
      <c r="AA38" s="44">
        <v>500.0</v>
      </c>
      <c r="AC38" s="42" t="s">
        <v>106</v>
      </c>
      <c r="AD38" s="43"/>
      <c r="AE38" s="43"/>
      <c r="AF38" s="43"/>
      <c r="AG38" s="43"/>
      <c r="AH38" s="44">
        <v>700.0</v>
      </c>
      <c r="AI38" s="44">
        <v>700.0</v>
      </c>
      <c r="AJ38" s="44">
        <v>700.0</v>
      </c>
      <c r="AK38" s="44">
        <v>700.0</v>
      </c>
      <c r="AL38" s="44">
        <v>700.0</v>
      </c>
      <c r="AM38" s="44">
        <v>700.0</v>
      </c>
      <c r="AN38" s="44">
        <v>700.0</v>
      </c>
      <c r="AO38" s="44">
        <v>700.0</v>
      </c>
      <c r="AQ38" s="37"/>
      <c r="AR38" s="49"/>
      <c r="AS38" s="49"/>
      <c r="AT38" s="42" t="s">
        <v>84</v>
      </c>
      <c r="AU38" s="43"/>
      <c r="AV38" s="43"/>
      <c r="AW38" s="43"/>
      <c r="AX38" s="43"/>
      <c r="AY38" s="50">
        <v>150.0</v>
      </c>
      <c r="AZ38" s="60">
        <v>300.0</v>
      </c>
      <c r="BA38" s="45">
        <v>300.0</v>
      </c>
      <c r="BB38" s="45">
        <v>300.0</v>
      </c>
      <c r="BC38" s="45">
        <v>300.0</v>
      </c>
      <c r="BD38" s="45">
        <v>300.0</v>
      </c>
      <c r="BE38" s="46">
        <v>300.0</v>
      </c>
      <c r="BF38" s="45">
        <v>300.0</v>
      </c>
      <c r="BG38" s="45">
        <v>300.0</v>
      </c>
      <c r="BH38" s="45">
        <v>300.0</v>
      </c>
      <c r="BI38" s="45">
        <v>300.0</v>
      </c>
      <c r="BJ38" s="45">
        <v>300.0</v>
      </c>
      <c r="BK38" s="45">
        <v>300.0</v>
      </c>
      <c r="BL38" s="45">
        <v>300.0</v>
      </c>
      <c r="BM38" s="45">
        <v>300.0</v>
      </c>
      <c r="BN38" s="45">
        <v>300.0</v>
      </c>
      <c r="BO38" s="45">
        <v>300.0</v>
      </c>
      <c r="BP38" s="45">
        <v>300.0</v>
      </c>
      <c r="BQ38" s="45">
        <v>300.0</v>
      </c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</row>
    <row r="39" ht="13.5" customHeight="1">
      <c r="A39" s="61" t="s">
        <v>89</v>
      </c>
      <c r="B39" s="39">
        <v>5.0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42">
        <v>25.3</v>
      </c>
      <c r="P39" s="43"/>
      <c r="Q39" s="43"/>
      <c r="R39" s="43"/>
      <c r="S39" s="43"/>
      <c r="T39" s="43"/>
      <c r="U39" s="43"/>
      <c r="V39" s="44">
        <v>700.0</v>
      </c>
      <c r="W39" s="44">
        <v>700.0</v>
      </c>
      <c r="X39" s="44">
        <v>700.0</v>
      </c>
      <c r="Y39" s="44">
        <v>700.0</v>
      </c>
      <c r="Z39" s="44">
        <v>700.0</v>
      </c>
      <c r="AA39" s="44">
        <v>700.0</v>
      </c>
      <c r="AB39" s="44">
        <v>700.0</v>
      </c>
      <c r="AC39" s="44">
        <v>700.0</v>
      </c>
      <c r="AD39" s="53"/>
      <c r="AI39" s="95">
        <v>15.8</v>
      </c>
      <c r="AJ39" s="43"/>
      <c r="AK39" s="43"/>
      <c r="AL39" s="43"/>
      <c r="AM39" s="43"/>
      <c r="AN39" s="44">
        <v>1000.0</v>
      </c>
      <c r="AO39" s="44">
        <v>1000.0</v>
      </c>
      <c r="AP39" s="44">
        <v>1000.0</v>
      </c>
      <c r="AQ39" s="44">
        <v>1000.0</v>
      </c>
      <c r="AR39" s="44">
        <v>1000.0</v>
      </c>
      <c r="AS39" s="37"/>
      <c r="AT39" s="37"/>
      <c r="AU39" s="59">
        <v>1.11</v>
      </c>
      <c r="AV39" s="43"/>
      <c r="AW39" s="43"/>
      <c r="AX39" s="43"/>
      <c r="AY39" s="43"/>
      <c r="AZ39" s="45">
        <v>150.0</v>
      </c>
      <c r="BA39" s="45">
        <v>300.0</v>
      </c>
      <c r="BB39" s="45">
        <v>300.0</v>
      </c>
      <c r="BC39" s="45">
        <v>300.0</v>
      </c>
      <c r="BD39" s="45">
        <v>300.0</v>
      </c>
      <c r="BE39" s="46">
        <v>300.0</v>
      </c>
      <c r="BF39" s="45">
        <v>300.0</v>
      </c>
      <c r="BG39" s="45">
        <v>300.0</v>
      </c>
      <c r="BH39" s="45">
        <v>300.0</v>
      </c>
      <c r="BI39" s="45">
        <v>300.0</v>
      </c>
      <c r="BJ39" s="45">
        <v>300.0</v>
      </c>
      <c r="BK39" s="45">
        <v>300.0</v>
      </c>
      <c r="BL39" s="45">
        <v>300.0</v>
      </c>
      <c r="BM39" s="45">
        <v>300.0</v>
      </c>
      <c r="BN39" s="45">
        <v>300.0</v>
      </c>
      <c r="BO39" s="45">
        <v>300.0</v>
      </c>
      <c r="BP39" s="45">
        <v>300.0</v>
      </c>
      <c r="BQ39" s="45">
        <v>300.0</v>
      </c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</row>
    <row r="40" ht="13.5" customHeight="1">
      <c r="A40" s="61" t="s">
        <v>90</v>
      </c>
      <c r="B40" s="39">
        <v>5.0</v>
      </c>
      <c r="C40" s="44">
        <v>150.0</v>
      </c>
      <c r="D40" s="44">
        <v>150.0</v>
      </c>
      <c r="E40" s="44">
        <v>150.0</v>
      </c>
      <c r="F40" s="44">
        <v>150.0</v>
      </c>
      <c r="G40" s="44">
        <v>150.0</v>
      </c>
      <c r="H40" s="44">
        <v>300.0</v>
      </c>
      <c r="I40" s="44">
        <v>300.0</v>
      </c>
      <c r="J40" s="44">
        <v>300.0</v>
      </c>
      <c r="K40" s="44">
        <v>300.0</v>
      </c>
      <c r="L40" s="44">
        <v>150.0</v>
      </c>
      <c r="M40" s="34"/>
      <c r="N40" s="34"/>
      <c r="O40" s="62" t="s">
        <v>91</v>
      </c>
      <c r="P40" s="28"/>
      <c r="Q40" s="63"/>
      <c r="R40" s="63"/>
      <c r="S40" s="63"/>
      <c r="T40" s="43">
        <v>1.5</v>
      </c>
      <c r="U40" s="43"/>
      <c r="V40" s="43"/>
      <c r="W40" s="43"/>
      <c r="X40" s="43"/>
      <c r="Y40" s="43"/>
      <c r="Z40" s="44">
        <v>500.0</v>
      </c>
      <c r="AA40" s="44">
        <v>750.0</v>
      </c>
      <c r="AB40" s="44">
        <v>1500.0</v>
      </c>
      <c r="AC40" s="44">
        <v>1500.0</v>
      </c>
      <c r="AD40" s="55">
        <v>1200.0</v>
      </c>
      <c r="AG40" s="42">
        <v>1.8</v>
      </c>
      <c r="AH40" s="43"/>
      <c r="AI40" s="43"/>
      <c r="AJ40" s="43"/>
      <c r="AK40" s="43"/>
      <c r="AL40" s="44">
        <v>1000.0</v>
      </c>
      <c r="AM40" s="44">
        <v>1000.0</v>
      </c>
      <c r="AN40" s="44">
        <v>1000.0</v>
      </c>
      <c r="AO40" s="44">
        <v>1000.0</v>
      </c>
      <c r="AP40" s="44">
        <v>1000.0</v>
      </c>
      <c r="AQ40" s="58"/>
      <c r="AR40" s="58"/>
      <c r="AS40" s="42" t="s">
        <v>94</v>
      </c>
      <c r="AT40" s="43"/>
      <c r="AU40" s="43"/>
      <c r="AV40" s="43"/>
      <c r="AW40" s="64">
        <v>250.0</v>
      </c>
      <c r="AX40" s="64">
        <v>400.0</v>
      </c>
      <c r="AY40" s="64">
        <v>400.0</v>
      </c>
      <c r="AZ40" s="64">
        <v>700.0</v>
      </c>
      <c r="BA40" s="64">
        <v>700.0</v>
      </c>
      <c r="BB40" s="64">
        <v>700.0</v>
      </c>
      <c r="BC40" s="64">
        <v>700.0</v>
      </c>
      <c r="BD40" s="64">
        <v>500.0</v>
      </c>
      <c r="BE40" s="64">
        <v>400.0</v>
      </c>
      <c r="BF40" s="64">
        <v>400.0</v>
      </c>
      <c r="BG40" s="64">
        <v>400.0</v>
      </c>
      <c r="BH40" s="12"/>
      <c r="BI40" s="12"/>
      <c r="BJ40" s="12"/>
      <c r="BK40" s="12"/>
      <c r="BL40" s="59">
        <v>1.3</v>
      </c>
      <c r="BM40" s="43"/>
      <c r="BN40" s="43"/>
      <c r="BO40" s="43"/>
      <c r="BP40" s="43"/>
      <c r="BQ40" s="43"/>
      <c r="BR40" s="43"/>
      <c r="BS40" s="43"/>
      <c r="BT40" s="43"/>
      <c r="BU40" s="43"/>
      <c r="BV40" s="44">
        <v>500.0</v>
      </c>
      <c r="BW40" s="44">
        <v>1000.0</v>
      </c>
      <c r="BX40" s="44">
        <v>1000.0</v>
      </c>
      <c r="BY40" s="44">
        <v>500.0</v>
      </c>
      <c r="BZ40" s="44">
        <v>500.0</v>
      </c>
      <c r="CA40" s="44">
        <v>500.0</v>
      </c>
      <c r="CB40" s="44">
        <v>500.0</v>
      </c>
      <c r="CC40" s="47"/>
      <c r="CD40" s="47"/>
      <c r="CE40" s="47"/>
      <c r="CF40" s="47"/>
    </row>
    <row r="41" ht="13.5" customHeight="1">
      <c r="A41" s="61" t="s">
        <v>92</v>
      </c>
      <c r="B41" s="39">
        <v>5.0</v>
      </c>
      <c r="C41" s="44">
        <v>150.0</v>
      </c>
      <c r="D41" s="44">
        <v>150.0</v>
      </c>
      <c r="E41" s="44">
        <v>150.0</v>
      </c>
      <c r="F41" s="44">
        <v>150.0</v>
      </c>
      <c r="G41" s="44">
        <v>150.0</v>
      </c>
      <c r="H41" s="44">
        <v>300.0</v>
      </c>
      <c r="I41" s="44">
        <v>300.0</v>
      </c>
      <c r="J41" s="44">
        <v>300.0</v>
      </c>
      <c r="K41" s="44">
        <v>300.0</v>
      </c>
      <c r="L41" s="44">
        <v>150.0</v>
      </c>
      <c r="M41" s="34"/>
      <c r="N41" s="34"/>
      <c r="O41" s="62" t="s">
        <v>91</v>
      </c>
      <c r="P41" s="28"/>
      <c r="Q41" s="28"/>
      <c r="R41" s="42">
        <v>20.4</v>
      </c>
      <c r="S41" s="43"/>
      <c r="T41" s="43"/>
      <c r="U41" s="43"/>
      <c r="V41" s="43"/>
      <c r="W41" s="43"/>
      <c r="X41" s="44">
        <v>500.0</v>
      </c>
      <c r="Y41" s="44">
        <v>750.0</v>
      </c>
      <c r="Z41" s="44">
        <v>1500.0</v>
      </c>
      <c r="AA41" s="44">
        <v>1500.0</v>
      </c>
      <c r="AB41" s="55">
        <v>1200.0</v>
      </c>
      <c r="AC41" s="66"/>
      <c r="AD41" s="66"/>
      <c r="AF41" s="42">
        <v>22.7</v>
      </c>
      <c r="AG41" s="43"/>
      <c r="AH41" s="43"/>
      <c r="AI41" s="43"/>
      <c r="AJ41" s="43"/>
      <c r="AK41" s="44">
        <v>1000.0</v>
      </c>
      <c r="AL41" s="44">
        <v>1000.0</v>
      </c>
      <c r="AM41" s="44">
        <v>1000.0</v>
      </c>
      <c r="AN41" s="44">
        <v>1000.0</v>
      </c>
      <c r="AO41" s="44">
        <v>1000.0</v>
      </c>
      <c r="AP41" s="44">
        <v>1000.0</v>
      </c>
      <c r="AQ41" s="58"/>
      <c r="AR41" s="58"/>
      <c r="AS41" s="42" t="s">
        <v>94</v>
      </c>
      <c r="AT41" s="43"/>
      <c r="AU41" s="43"/>
      <c r="AV41" s="43"/>
      <c r="AW41" s="64">
        <v>250.0</v>
      </c>
      <c r="AX41" s="64">
        <v>400.0</v>
      </c>
      <c r="AY41" s="64">
        <v>400.0</v>
      </c>
      <c r="AZ41" s="64">
        <v>700.0</v>
      </c>
      <c r="BA41" s="64">
        <v>700.0</v>
      </c>
      <c r="BB41" s="64">
        <v>700.0</v>
      </c>
      <c r="BC41" s="64">
        <v>700.0</v>
      </c>
      <c r="BD41" s="64">
        <v>500.0</v>
      </c>
      <c r="BE41" s="64">
        <v>400.0</v>
      </c>
      <c r="BF41" s="64">
        <v>400.0</v>
      </c>
      <c r="BG41" s="64">
        <v>400.0</v>
      </c>
      <c r="BH41" s="12"/>
      <c r="BI41" s="12"/>
      <c r="BJ41" s="12"/>
      <c r="BK41" s="12"/>
      <c r="BL41" s="59">
        <v>1.3</v>
      </c>
      <c r="BM41" s="43"/>
      <c r="BN41" s="43"/>
      <c r="BO41" s="43"/>
      <c r="BP41" s="43"/>
      <c r="BQ41" s="43"/>
      <c r="BR41" s="43"/>
      <c r="BS41" s="43"/>
      <c r="BT41" s="43"/>
      <c r="BU41" s="43"/>
      <c r="BV41" s="44">
        <v>500.0</v>
      </c>
      <c r="BW41" s="44">
        <v>1000.0</v>
      </c>
      <c r="BX41" s="44">
        <v>1000.0</v>
      </c>
      <c r="BY41" s="44">
        <v>500.0</v>
      </c>
      <c r="BZ41" s="44">
        <v>500.0</v>
      </c>
      <c r="CA41" s="44">
        <v>500.0</v>
      </c>
      <c r="CB41" s="44">
        <v>500.0</v>
      </c>
      <c r="CC41" s="47"/>
      <c r="CD41" s="47"/>
      <c r="CE41" s="47"/>
      <c r="CF41" s="47"/>
    </row>
    <row r="42" ht="13.5" customHeight="1">
      <c r="A42" s="61" t="s">
        <v>107</v>
      </c>
      <c r="B42" s="61">
        <v>5.0</v>
      </c>
      <c r="C42" s="34"/>
      <c r="D42" s="34"/>
      <c r="E42" s="34"/>
      <c r="F42" s="34"/>
      <c r="G42" s="34"/>
      <c r="H42" s="34"/>
      <c r="I42" s="59">
        <v>10.2</v>
      </c>
      <c r="J42" s="43"/>
      <c r="K42" s="43"/>
      <c r="L42" s="43"/>
      <c r="M42" s="43"/>
      <c r="N42" s="43"/>
      <c r="O42" s="43"/>
      <c r="P42" s="43"/>
      <c r="Q42" s="43"/>
      <c r="R42" s="43"/>
      <c r="S42" s="44">
        <v>500.0</v>
      </c>
      <c r="T42" s="44">
        <v>1000.0</v>
      </c>
      <c r="U42" s="44">
        <v>1000.0</v>
      </c>
      <c r="V42" s="44">
        <v>500.0</v>
      </c>
      <c r="W42" s="44">
        <v>500.0</v>
      </c>
      <c r="X42" s="44">
        <v>500.0</v>
      </c>
      <c r="Y42" s="44">
        <v>500.0</v>
      </c>
      <c r="Z42" s="66"/>
      <c r="AA42" s="66"/>
      <c r="AB42" s="42" t="s">
        <v>108</v>
      </c>
      <c r="AC42" s="43"/>
      <c r="AD42" s="43"/>
      <c r="AE42" s="43"/>
      <c r="AF42" s="43"/>
      <c r="AG42" s="44">
        <v>700.0</v>
      </c>
      <c r="AH42" s="44">
        <v>700.0</v>
      </c>
      <c r="AI42" s="44">
        <v>700.0</v>
      </c>
      <c r="AJ42" s="44">
        <v>700.0</v>
      </c>
      <c r="AK42" s="44">
        <v>700.0</v>
      </c>
      <c r="AL42" s="44">
        <v>700.0</v>
      </c>
      <c r="AM42" s="44">
        <v>700.0</v>
      </c>
      <c r="AN42" s="44">
        <v>700.0</v>
      </c>
      <c r="AP42" s="58"/>
      <c r="AQ42" s="49"/>
      <c r="AR42" s="58"/>
      <c r="AS42" s="42" t="s">
        <v>94</v>
      </c>
      <c r="AT42" s="43"/>
      <c r="AU42" s="43"/>
      <c r="AV42" s="43"/>
      <c r="AW42" s="45">
        <v>300.0</v>
      </c>
      <c r="AX42" s="45">
        <v>300.0</v>
      </c>
      <c r="AY42" s="46">
        <v>300.0</v>
      </c>
      <c r="AZ42" s="45">
        <v>350.0</v>
      </c>
      <c r="BA42" s="45">
        <v>350.0</v>
      </c>
      <c r="BB42" s="45">
        <v>350.0</v>
      </c>
      <c r="BC42" s="45">
        <v>300.0</v>
      </c>
      <c r="BD42" s="45">
        <v>300.0</v>
      </c>
      <c r="BE42" s="46">
        <v>300.0</v>
      </c>
      <c r="BF42" s="45">
        <v>300.0</v>
      </c>
      <c r="BG42" s="45">
        <v>300.0</v>
      </c>
      <c r="BH42" s="45">
        <v>300.0</v>
      </c>
      <c r="BI42" s="45">
        <v>300.0</v>
      </c>
      <c r="BJ42" s="45">
        <v>300.0</v>
      </c>
      <c r="BK42" s="45">
        <v>300.0</v>
      </c>
      <c r="BL42" s="45">
        <v>300.0</v>
      </c>
      <c r="BM42" s="45">
        <v>300.0</v>
      </c>
      <c r="BN42" s="45">
        <v>300.0</v>
      </c>
      <c r="BO42" s="45">
        <v>300.0</v>
      </c>
      <c r="BP42" s="45">
        <v>300.0</v>
      </c>
      <c r="BQ42" s="45">
        <v>300.0</v>
      </c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</row>
    <row r="43" ht="13.5" customHeight="1">
      <c r="A43" s="61" t="s">
        <v>107</v>
      </c>
      <c r="B43" s="39">
        <v>5.0</v>
      </c>
      <c r="C43" s="34"/>
      <c r="D43" s="34"/>
      <c r="E43" s="34"/>
      <c r="F43" s="34"/>
      <c r="G43" s="34"/>
      <c r="H43" s="34"/>
      <c r="I43" s="59">
        <v>10.2</v>
      </c>
      <c r="J43" s="43"/>
      <c r="K43" s="43"/>
      <c r="L43" s="43"/>
      <c r="M43" s="43"/>
      <c r="N43" s="43"/>
      <c r="O43" s="43"/>
      <c r="P43" s="43"/>
      <c r="Q43" s="43"/>
      <c r="R43" s="43"/>
      <c r="S43" s="44">
        <v>500.0</v>
      </c>
      <c r="T43" s="44">
        <v>1000.0</v>
      </c>
      <c r="U43" s="44">
        <v>1000.0</v>
      </c>
      <c r="V43" s="44">
        <v>500.0</v>
      </c>
      <c r="W43" s="44">
        <v>500.0</v>
      </c>
      <c r="X43" s="44">
        <v>500.0</v>
      </c>
      <c r="Y43" s="44">
        <v>500.0</v>
      </c>
      <c r="Z43" s="66"/>
      <c r="AA43" s="66"/>
      <c r="AB43" s="42" t="s">
        <v>108</v>
      </c>
      <c r="AC43" s="43"/>
      <c r="AD43" s="43"/>
      <c r="AE43" s="43"/>
      <c r="AF43" s="43"/>
      <c r="AG43" s="44">
        <v>700.0</v>
      </c>
      <c r="AH43" s="44">
        <v>700.0</v>
      </c>
      <c r="AI43" s="44">
        <v>700.0</v>
      </c>
      <c r="AJ43" s="44">
        <v>700.0</v>
      </c>
      <c r="AK43" s="44">
        <v>700.0</v>
      </c>
      <c r="AL43" s="44">
        <v>700.0</v>
      </c>
      <c r="AM43" s="44">
        <v>700.0</v>
      </c>
      <c r="AN43" s="44">
        <v>700.0</v>
      </c>
      <c r="AP43" s="49"/>
      <c r="AQ43" s="37"/>
      <c r="AR43" s="49"/>
      <c r="AS43" s="59" t="s">
        <v>94</v>
      </c>
      <c r="AT43" s="43"/>
      <c r="AU43" s="43"/>
      <c r="AV43" s="43"/>
      <c r="AW43" s="45">
        <v>300.0</v>
      </c>
      <c r="AX43" s="45">
        <v>300.0</v>
      </c>
      <c r="AY43" s="46">
        <v>300.0</v>
      </c>
      <c r="AZ43" s="45">
        <v>350.0</v>
      </c>
      <c r="BA43" s="45">
        <v>350.0</v>
      </c>
      <c r="BB43" s="45">
        <v>350.0</v>
      </c>
      <c r="BC43" s="45">
        <v>300.0</v>
      </c>
      <c r="BD43" s="45">
        <v>300.0</v>
      </c>
      <c r="BE43" s="46">
        <v>300.0</v>
      </c>
      <c r="BF43" s="45">
        <v>300.0</v>
      </c>
      <c r="BG43" s="45">
        <v>300.0</v>
      </c>
      <c r="BH43" s="45">
        <v>300.0</v>
      </c>
      <c r="BI43" s="45">
        <v>300.0</v>
      </c>
      <c r="BJ43" s="45">
        <v>300.0</v>
      </c>
      <c r="BK43" s="45">
        <v>300.0</v>
      </c>
      <c r="BL43" s="45">
        <v>300.0</v>
      </c>
      <c r="BM43" s="45">
        <v>300.0</v>
      </c>
      <c r="BN43" s="45">
        <v>300.0</v>
      </c>
      <c r="BO43" s="45">
        <v>300.0</v>
      </c>
      <c r="BP43" s="45">
        <v>300.0</v>
      </c>
      <c r="BQ43" s="45">
        <v>300.0</v>
      </c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</row>
    <row r="44" ht="13.5" customHeight="1">
      <c r="A44" s="48" t="s">
        <v>96</v>
      </c>
      <c r="B44" s="68">
        <v>1.0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42" t="s">
        <v>108</v>
      </c>
      <c r="AC44" s="43"/>
      <c r="AD44" s="43"/>
      <c r="AE44" s="43"/>
      <c r="AF44" s="43"/>
      <c r="AG44" s="44">
        <v>700.0</v>
      </c>
      <c r="AH44" s="44">
        <v>700.0</v>
      </c>
      <c r="AI44" s="44">
        <v>700.0</v>
      </c>
      <c r="AJ44" s="44">
        <v>700.0</v>
      </c>
      <c r="AK44" s="44">
        <v>700.0</v>
      </c>
      <c r="AL44" s="44">
        <v>700.0</v>
      </c>
      <c r="AM44" s="44">
        <v>700.0</v>
      </c>
      <c r="AN44" s="44">
        <v>700.0</v>
      </c>
      <c r="AO44" s="34"/>
      <c r="AP44" s="34"/>
      <c r="AQ44" s="34"/>
      <c r="AR44" s="34"/>
      <c r="AS44" s="42" t="s">
        <v>94</v>
      </c>
      <c r="AT44" s="43"/>
      <c r="AU44" s="43"/>
      <c r="AV44" s="43"/>
      <c r="AW44" s="64">
        <v>250.0</v>
      </c>
      <c r="AX44" s="64">
        <v>400.0</v>
      </c>
      <c r="AY44" s="64">
        <v>400.0</v>
      </c>
      <c r="AZ44" s="64">
        <v>700.0</v>
      </c>
      <c r="BA44" s="64">
        <v>700.0</v>
      </c>
      <c r="BB44" s="64">
        <v>700.0</v>
      </c>
      <c r="BC44" s="64">
        <v>700.0</v>
      </c>
      <c r="BD44" s="64">
        <v>500.0</v>
      </c>
      <c r="BE44" s="64">
        <v>400.0</v>
      </c>
      <c r="BF44" s="64">
        <v>400.0</v>
      </c>
      <c r="BG44" s="64">
        <v>400.0</v>
      </c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69"/>
      <c r="BT44" s="70"/>
      <c r="BU44" s="69"/>
      <c r="BV44" s="69"/>
      <c r="BW44" s="70"/>
      <c r="BX44" s="69"/>
      <c r="BY44" s="69"/>
      <c r="BZ44" s="70"/>
      <c r="CA44" s="69"/>
      <c r="CB44" s="69"/>
      <c r="CC44" s="70"/>
      <c r="CD44" s="70"/>
      <c r="CE44" s="70"/>
      <c r="CF44" s="70"/>
    </row>
    <row r="45" ht="13.5" customHeight="1">
      <c r="A45" s="61" t="s">
        <v>97</v>
      </c>
      <c r="B45" s="68">
        <v>5.0</v>
      </c>
      <c r="C45" s="71">
        <v>300.0</v>
      </c>
      <c r="D45" s="71">
        <v>300.0</v>
      </c>
      <c r="E45" s="71">
        <v>300.0</v>
      </c>
      <c r="F45" s="71">
        <v>300.0</v>
      </c>
      <c r="G45" s="71">
        <v>300.0</v>
      </c>
      <c r="H45" s="71">
        <v>300.0</v>
      </c>
      <c r="I45" s="71">
        <v>300.0</v>
      </c>
      <c r="J45" s="71">
        <v>300.0</v>
      </c>
      <c r="K45" s="71">
        <v>300.0</v>
      </c>
      <c r="L45" s="12"/>
      <c r="M45" s="12"/>
      <c r="N45" s="12"/>
      <c r="O45" s="34"/>
      <c r="P45" s="28"/>
      <c r="Q45" s="28"/>
      <c r="R45" s="28"/>
      <c r="S45" s="28"/>
      <c r="T45" s="63"/>
      <c r="U45" s="63"/>
      <c r="V45" s="43">
        <v>14.5</v>
      </c>
      <c r="W45" s="43"/>
      <c r="X45" s="43"/>
      <c r="Y45" s="43"/>
      <c r="Z45" s="43"/>
      <c r="AA45" s="44">
        <v>750.0</v>
      </c>
      <c r="AB45" s="44">
        <v>1500.0</v>
      </c>
      <c r="AC45" s="44">
        <v>1500.0</v>
      </c>
      <c r="AD45" s="55">
        <v>1200.0</v>
      </c>
      <c r="AE45" s="44">
        <v>500.0</v>
      </c>
      <c r="AF45" s="44">
        <v>500.0</v>
      </c>
      <c r="AG45" s="44">
        <v>500.0</v>
      </c>
      <c r="AH45" s="34"/>
      <c r="AI45" s="34"/>
      <c r="AJ45" s="34"/>
      <c r="AK45" s="95">
        <v>25.8</v>
      </c>
      <c r="AL45" s="96"/>
      <c r="AM45" s="96"/>
      <c r="AN45" s="96"/>
      <c r="AO45" s="96"/>
      <c r="AP45" s="97">
        <v>1000.0</v>
      </c>
      <c r="AQ45" s="98">
        <v>1000.0</v>
      </c>
      <c r="AR45" s="98">
        <v>1000.0</v>
      </c>
      <c r="AS45" s="98">
        <v>1000.0</v>
      </c>
      <c r="AT45" s="99">
        <v>1000.0</v>
      </c>
      <c r="AU45" s="58"/>
      <c r="AV45" s="58"/>
      <c r="AW45" s="42">
        <v>15.11</v>
      </c>
      <c r="AX45" s="42"/>
      <c r="AY45" s="43"/>
      <c r="AZ45" s="43"/>
      <c r="BA45" s="42"/>
      <c r="BB45" s="43"/>
      <c r="BC45" s="43"/>
      <c r="BD45" s="45">
        <v>300.0</v>
      </c>
      <c r="BE45" s="46">
        <v>300.0</v>
      </c>
      <c r="BF45" s="45">
        <v>300.0</v>
      </c>
      <c r="BG45" s="45">
        <v>300.0</v>
      </c>
      <c r="BH45" s="45">
        <v>300.0</v>
      </c>
      <c r="BI45" s="45">
        <v>300.0</v>
      </c>
      <c r="BJ45" s="45">
        <v>300.0</v>
      </c>
      <c r="BK45" s="45">
        <v>300.0</v>
      </c>
      <c r="BL45" s="45">
        <v>300.0</v>
      </c>
      <c r="BM45" s="45">
        <v>300.0</v>
      </c>
      <c r="BN45" s="45">
        <v>300.0</v>
      </c>
      <c r="BO45" s="45">
        <v>300.0</v>
      </c>
      <c r="BP45" s="45">
        <v>300.0</v>
      </c>
      <c r="BQ45" s="45">
        <v>300.0</v>
      </c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</row>
    <row r="46" ht="13.5" customHeight="1">
      <c r="A46" s="63"/>
      <c r="B46" s="73" t="s">
        <v>98</v>
      </c>
      <c r="C46" s="74">
        <f t="shared" ref="C46:BQ46" si="5">SUMPRODUCT(C34:C45,$B34:$B45)</f>
        <v>3750</v>
      </c>
      <c r="D46" s="74">
        <f t="shared" si="5"/>
        <v>3750</v>
      </c>
      <c r="E46" s="74">
        <f t="shared" si="5"/>
        <v>3750</v>
      </c>
      <c r="F46" s="74">
        <f t="shared" si="5"/>
        <v>3750</v>
      </c>
      <c r="G46" s="74">
        <f t="shared" si="5"/>
        <v>3750</v>
      </c>
      <c r="H46" s="74">
        <f t="shared" si="5"/>
        <v>4500</v>
      </c>
      <c r="I46" s="74">
        <f t="shared" si="5"/>
        <v>4602</v>
      </c>
      <c r="J46" s="74">
        <f t="shared" si="5"/>
        <v>4662</v>
      </c>
      <c r="K46" s="74">
        <f t="shared" si="5"/>
        <v>4500</v>
      </c>
      <c r="L46" s="74">
        <f t="shared" si="5"/>
        <v>1543</v>
      </c>
      <c r="M46" s="74">
        <f t="shared" si="5"/>
        <v>0</v>
      </c>
      <c r="N46" s="74">
        <f t="shared" si="5"/>
        <v>0</v>
      </c>
      <c r="O46" s="74">
        <f t="shared" si="5"/>
        <v>126.5</v>
      </c>
      <c r="P46" s="74">
        <f t="shared" si="5"/>
        <v>0</v>
      </c>
      <c r="Q46" s="74">
        <f t="shared" si="5"/>
        <v>5000</v>
      </c>
      <c r="R46" s="74">
        <f t="shared" si="5"/>
        <v>10102</v>
      </c>
      <c r="S46" s="74">
        <f t="shared" si="5"/>
        <v>15000</v>
      </c>
      <c r="T46" s="74">
        <f t="shared" si="5"/>
        <v>20007.5</v>
      </c>
      <c r="U46" s="74">
        <f t="shared" si="5"/>
        <v>20000</v>
      </c>
      <c r="V46" s="74">
        <f t="shared" si="5"/>
        <v>18572.5</v>
      </c>
      <c r="W46" s="74">
        <f t="shared" si="5"/>
        <v>18500</v>
      </c>
      <c r="X46" s="74">
        <f t="shared" si="5"/>
        <v>21142.5</v>
      </c>
      <c r="Y46" s="74">
        <f t="shared" si="5"/>
        <v>22250</v>
      </c>
      <c r="Z46" s="74">
        <f t="shared" si="5"/>
        <v>23500</v>
      </c>
      <c r="AA46" s="74">
        <f t="shared" si="5"/>
        <v>28500</v>
      </c>
      <c r="AB46" s="74">
        <f t="shared" si="5"/>
        <v>27000</v>
      </c>
      <c r="AC46" s="74">
        <f t="shared" si="5"/>
        <v>22250</v>
      </c>
      <c r="AD46" s="74">
        <f t="shared" si="5"/>
        <v>19500</v>
      </c>
      <c r="AE46" s="74">
        <f t="shared" si="5"/>
        <v>10000</v>
      </c>
      <c r="AF46" s="74">
        <f t="shared" si="5"/>
        <v>8613.5</v>
      </c>
      <c r="AG46" s="74">
        <f t="shared" si="5"/>
        <v>10209</v>
      </c>
      <c r="AH46" s="74">
        <f t="shared" si="5"/>
        <v>14700</v>
      </c>
      <c r="AI46" s="74">
        <f t="shared" si="5"/>
        <v>21779</v>
      </c>
      <c r="AJ46" s="74">
        <f t="shared" si="5"/>
        <v>21700</v>
      </c>
      <c r="AK46" s="74">
        <f t="shared" si="5"/>
        <v>26829</v>
      </c>
      <c r="AL46" s="74">
        <f t="shared" si="5"/>
        <v>31709.5</v>
      </c>
      <c r="AM46" s="74">
        <f t="shared" si="5"/>
        <v>31700</v>
      </c>
      <c r="AN46" s="74">
        <f t="shared" si="5"/>
        <v>36700</v>
      </c>
      <c r="AO46" s="74">
        <f t="shared" si="5"/>
        <v>29000</v>
      </c>
      <c r="AP46" s="74">
        <f t="shared" si="5"/>
        <v>27000</v>
      </c>
      <c r="AQ46" s="74">
        <f t="shared" si="5"/>
        <v>15000</v>
      </c>
      <c r="AR46" s="74">
        <f t="shared" si="5"/>
        <v>15000</v>
      </c>
      <c r="AS46" s="74">
        <f t="shared" si="5"/>
        <v>10000</v>
      </c>
      <c r="AT46" s="74">
        <f t="shared" si="5"/>
        <v>10000</v>
      </c>
      <c r="AU46" s="74">
        <f t="shared" si="5"/>
        <v>5005.55</v>
      </c>
      <c r="AV46" s="74">
        <f t="shared" si="5"/>
        <v>0</v>
      </c>
      <c r="AW46" s="74">
        <f t="shared" si="5"/>
        <v>5901.1</v>
      </c>
      <c r="AX46" s="74">
        <f t="shared" si="5"/>
        <v>7400</v>
      </c>
      <c r="AY46" s="74">
        <f t="shared" si="5"/>
        <v>10400</v>
      </c>
      <c r="AZ46" s="74">
        <f t="shared" si="5"/>
        <v>18200</v>
      </c>
      <c r="BA46" s="74">
        <f t="shared" si="5"/>
        <v>18950</v>
      </c>
      <c r="BB46" s="74">
        <f t="shared" si="5"/>
        <v>18950</v>
      </c>
      <c r="BC46" s="74">
        <f t="shared" si="5"/>
        <v>18200</v>
      </c>
      <c r="BD46" s="74">
        <f t="shared" si="5"/>
        <v>19000</v>
      </c>
      <c r="BE46" s="74">
        <f t="shared" si="5"/>
        <v>17900</v>
      </c>
      <c r="BF46" s="74">
        <f t="shared" si="5"/>
        <v>17900</v>
      </c>
      <c r="BG46" s="74">
        <f t="shared" si="5"/>
        <v>17900</v>
      </c>
      <c r="BH46" s="74">
        <f t="shared" si="5"/>
        <v>13500</v>
      </c>
      <c r="BI46" s="74">
        <f t="shared" si="5"/>
        <v>13500</v>
      </c>
      <c r="BJ46" s="74">
        <f t="shared" si="5"/>
        <v>13500</v>
      </c>
      <c r="BK46" s="74">
        <f t="shared" si="5"/>
        <v>13500</v>
      </c>
      <c r="BL46" s="74">
        <f t="shared" si="5"/>
        <v>13513</v>
      </c>
      <c r="BM46" s="74">
        <f t="shared" si="5"/>
        <v>13500</v>
      </c>
      <c r="BN46" s="74">
        <f t="shared" si="5"/>
        <v>13500</v>
      </c>
      <c r="BO46" s="74">
        <f t="shared" si="5"/>
        <v>13500</v>
      </c>
      <c r="BP46" s="74">
        <f t="shared" si="5"/>
        <v>13500</v>
      </c>
      <c r="BQ46" s="74">
        <f t="shared" si="5"/>
        <v>13500</v>
      </c>
      <c r="BR46" s="74">
        <f t="shared" ref="BR46:CF46" si="6">SUMPRODUCT(BR36:BR45,$B36:$B45)</f>
        <v>0</v>
      </c>
      <c r="BS46" s="74">
        <f t="shared" si="6"/>
        <v>0</v>
      </c>
      <c r="BT46" s="74">
        <f t="shared" si="6"/>
        <v>0</v>
      </c>
      <c r="BU46" s="74">
        <f t="shared" si="6"/>
        <v>0</v>
      </c>
      <c r="BV46" s="74">
        <f t="shared" si="6"/>
        <v>5000</v>
      </c>
      <c r="BW46" s="74">
        <f t="shared" si="6"/>
        <v>10000</v>
      </c>
      <c r="BX46" s="74">
        <f t="shared" si="6"/>
        <v>10000</v>
      </c>
      <c r="BY46" s="74">
        <f t="shared" si="6"/>
        <v>5000</v>
      </c>
      <c r="BZ46" s="74">
        <f t="shared" si="6"/>
        <v>5000</v>
      </c>
      <c r="CA46" s="74">
        <f t="shared" si="6"/>
        <v>5000</v>
      </c>
      <c r="CB46" s="74">
        <f t="shared" si="6"/>
        <v>5000</v>
      </c>
      <c r="CC46" s="74">
        <f t="shared" si="6"/>
        <v>0</v>
      </c>
      <c r="CD46" s="74">
        <f t="shared" si="6"/>
        <v>0</v>
      </c>
      <c r="CE46" s="74">
        <f t="shared" si="6"/>
        <v>0</v>
      </c>
      <c r="CF46" s="74">
        <f t="shared" si="6"/>
        <v>0</v>
      </c>
    </row>
    <row r="47" ht="13.5" customHeight="1">
      <c r="A47" s="63"/>
      <c r="B47" s="75" t="s">
        <v>99</v>
      </c>
      <c r="C47" s="76">
        <f t="shared" ref="C47:CF47" si="7">C46/690</f>
        <v>5.434782609</v>
      </c>
      <c r="D47" s="76">
        <f t="shared" si="7"/>
        <v>5.434782609</v>
      </c>
      <c r="E47" s="76">
        <f t="shared" si="7"/>
        <v>5.434782609</v>
      </c>
      <c r="F47" s="76">
        <f t="shared" si="7"/>
        <v>5.434782609</v>
      </c>
      <c r="G47" s="76">
        <f t="shared" si="7"/>
        <v>5.434782609</v>
      </c>
      <c r="H47" s="76">
        <f t="shared" si="7"/>
        <v>6.52173913</v>
      </c>
      <c r="I47" s="76">
        <f t="shared" si="7"/>
        <v>6.669565217</v>
      </c>
      <c r="J47" s="76">
        <f t="shared" si="7"/>
        <v>6.756521739</v>
      </c>
      <c r="K47" s="76">
        <f t="shared" si="7"/>
        <v>6.52173913</v>
      </c>
      <c r="L47" s="76">
        <f t="shared" si="7"/>
        <v>2.236231884</v>
      </c>
      <c r="M47" s="76">
        <f t="shared" si="7"/>
        <v>0</v>
      </c>
      <c r="N47" s="76">
        <f t="shared" si="7"/>
        <v>0</v>
      </c>
      <c r="O47" s="76">
        <f t="shared" si="7"/>
        <v>0.1833333333</v>
      </c>
      <c r="P47" s="76">
        <f t="shared" si="7"/>
        <v>0</v>
      </c>
      <c r="Q47" s="76">
        <f t="shared" si="7"/>
        <v>7.246376812</v>
      </c>
      <c r="R47" s="76">
        <f t="shared" si="7"/>
        <v>14.64057971</v>
      </c>
      <c r="S47" s="76">
        <f t="shared" si="7"/>
        <v>21.73913043</v>
      </c>
      <c r="T47" s="76">
        <f t="shared" si="7"/>
        <v>28.99637681</v>
      </c>
      <c r="U47" s="76">
        <f t="shared" si="7"/>
        <v>28.98550725</v>
      </c>
      <c r="V47" s="76">
        <f t="shared" si="7"/>
        <v>26.91666667</v>
      </c>
      <c r="W47" s="76">
        <f t="shared" si="7"/>
        <v>26.8115942</v>
      </c>
      <c r="X47" s="76">
        <f t="shared" si="7"/>
        <v>30.64130435</v>
      </c>
      <c r="Y47" s="76">
        <f t="shared" si="7"/>
        <v>32.24637681</v>
      </c>
      <c r="Z47" s="76">
        <f t="shared" si="7"/>
        <v>34.05797101</v>
      </c>
      <c r="AA47" s="76">
        <f t="shared" si="7"/>
        <v>41.30434783</v>
      </c>
      <c r="AB47" s="76">
        <f t="shared" si="7"/>
        <v>39.13043478</v>
      </c>
      <c r="AC47" s="76">
        <f t="shared" si="7"/>
        <v>32.24637681</v>
      </c>
      <c r="AD47" s="76">
        <f t="shared" si="7"/>
        <v>28.26086957</v>
      </c>
      <c r="AE47" s="76">
        <f t="shared" si="7"/>
        <v>14.49275362</v>
      </c>
      <c r="AF47" s="76">
        <f t="shared" si="7"/>
        <v>12.48333333</v>
      </c>
      <c r="AG47" s="76">
        <f t="shared" si="7"/>
        <v>14.79565217</v>
      </c>
      <c r="AH47" s="76">
        <f t="shared" si="7"/>
        <v>21.30434783</v>
      </c>
      <c r="AI47" s="76">
        <f t="shared" si="7"/>
        <v>31.56376812</v>
      </c>
      <c r="AJ47" s="76">
        <f t="shared" si="7"/>
        <v>31.44927536</v>
      </c>
      <c r="AK47" s="76">
        <f t="shared" si="7"/>
        <v>38.8826087</v>
      </c>
      <c r="AL47" s="76">
        <f t="shared" si="7"/>
        <v>45.9557971</v>
      </c>
      <c r="AM47" s="76">
        <f t="shared" si="7"/>
        <v>45.94202899</v>
      </c>
      <c r="AN47" s="76">
        <f t="shared" si="7"/>
        <v>53.1884058</v>
      </c>
      <c r="AO47" s="76">
        <f t="shared" si="7"/>
        <v>42.02898551</v>
      </c>
      <c r="AP47" s="76">
        <f t="shared" si="7"/>
        <v>39.13043478</v>
      </c>
      <c r="AQ47" s="76">
        <f t="shared" si="7"/>
        <v>21.73913043</v>
      </c>
      <c r="AR47" s="76">
        <f t="shared" si="7"/>
        <v>21.73913043</v>
      </c>
      <c r="AS47" s="76">
        <f t="shared" si="7"/>
        <v>14.49275362</v>
      </c>
      <c r="AT47" s="76">
        <f t="shared" si="7"/>
        <v>14.49275362</v>
      </c>
      <c r="AU47" s="76">
        <f t="shared" si="7"/>
        <v>7.25442029</v>
      </c>
      <c r="AV47" s="76">
        <f t="shared" si="7"/>
        <v>0</v>
      </c>
      <c r="AW47" s="76">
        <f t="shared" si="7"/>
        <v>8.552318841</v>
      </c>
      <c r="AX47" s="76">
        <f t="shared" si="7"/>
        <v>10.72463768</v>
      </c>
      <c r="AY47" s="76">
        <f t="shared" si="7"/>
        <v>15.07246377</v>
      </c>
      <c r="AZ47" s="76">
        <f t="shared" si="7"/>
        <v>26.37681159</v>
      </c>
      <c r="BA47" s="76">
        <f t="shared" si="7"/>
        <v>27.46376812</v>
      </c>
      <c r="BB47" s="76">
        <f t="shared" si="7"/>
        <v>27.46376812</v>
      </c>
      <c r="BC47" s="76">
        <f t="shared" si="7"/>
        <v>26.37681159</v>
      </c>
      <c r="BD47" s="76">
        <f t="shared" si="7"/>
        <v>27.53623188</v>
      </c>
      <c r="BE47" s="76">
        <f t="shared" si="7"/>
        <v>25.94202899</v>
      </c>
      <c r="BF47" s="76">
        <f t="shared" si="7"/>
        <v>25.94202899</v>
      </c>
      <c r="BG47" s="76">
        <f t="shared" si="7"/>
        <v>25.94202899</v>
      </c>
      <c r="BH47" s="76">
        <f t="shared" si="7"/>
        <v>19.56521739</v>
      </c>
      <c r="BI47" s="76">
        <f t="shared" si="7"/>
        <v>19.56521739</v>
      </c>
      <c r="BJ47" s="76">
        <f t="shared" si="7"/>
        <v>19.56521739</v>
      </c>
      <c r="BK47" s="76">
        <f t="shared" si="7"/>
        <v>19.56521739</v>
      </c>
      <c r="BL47" s="76">
        <f t="shared" si="7"/>
        <v>19.58405797</v>
      </c>
      <c r="BM47" s="76">
        <f t="shared" si="7"/>
        <v>19.56521739</v>
      </c>
      <c r="BN47" s="76">
        <f t="shared" si="7"/>
        <v>19.56521739</v>
      </c>
      <c r="BO47" s="76">
        <f t="shared" si="7"/>
        <v>19.56521739</v>
      </c>
      <c r="BP47" s="76">
        <f t="shared" si="7"/>
        <v>19.56521739</v>
      </c>
      <c r="BQ47" s="76">
        <f t="shared" si="7"/>
        <v>19.56521739</v>
      </c>
      <c r="BR47" s="76">
        <f t="shared" si="7"/>
        <v>0</v>
      </c>
      <c r="BS47" s="76">
        <f t="shared" si="7"/>
        <v>0</v>
      </c>
      <c r="BT47" s="76">
        <f t="shared" si="7"/>
        <v>0</v>
      </c>
      <c r="BU47" s="76">
        <f t="shared" si="7"/>
        <v>0</v>
      </c>
      <c r="BV47" s="76">
        <f t="shared" si="7"/>
        <v>7.246376812</v>
      </c>
      <c r="BW47" s="76">
        <f t="shared" si="7"/>
        <v>14.49275362</v>
      </c>
      <c r="BX47" s="76">
        <f t="shared" si="7"/>
        <v>14.49275362</v>
      </c>
      <c r="BY47" s="76">
        <f t="shared" si="7"/>
        <v>7.246376812</v>
      </c>
      <c r="BZ47" s="76">
        <f t="shared" si="7"/>
        <v>7.246376812</v>
      </c>
      <c r="CA47" s="76">
        <f t="shared" si="7"/>
        <v>7.246376812</v>
      </c>
      <c r="CB47" s="76">
        <f t="shared" si="7"/>
        <v>7.246376812</v>
      </c>
      <c r="CC47" s="76">
        <f t="shared" si="7"/>
        <v>0</v>
      </c>
      <c r="CD47" s="76">
        <f t="shared" si="7"/>
        <v>0</v>
      </c>
      <c r="CE47" s="76">
        <f t="shared" si="7"/>
        <v>0</v>
      </c>
      <c r="CF47" s="76">
        <f t="shared" si="7"/>
        <v>0</v>
      </c>
    </row>
    <row r="48" ht="13.5" customHeight="1">
      <c r="A48" s="63"/>
      <c r="B48" s="77" t="s">
        <v>100</v>
      </c>
      <c r="C48" s="78">
        <f t="shared" ref="C48:CF48" si="8">C46*3</f>
        <v>11250</v>
      </c>
      <c r="D48" s="78">
        <f t="shared" si="8"/>
        <v>11250</v>
      </c>
      <c r="E48" s="78">
        <f t="shared" si="8"/>
        <v>11250</v>
      </c>
      <c r="F48" s="78">
        <f t="shared" si="8"/>
        <v>11250</v>
      </c>
      <c r="G48" s="78">
        <f t="shared" si="8"/>
        <v>11250</v>
      </c>
      <c r="H48" s="78">
        <f t="shared" si="8"/>
        <v>13500</v>
      </c>
      <c r="I48" s="78">
        <f t="shared" si="8"/>
        <v>13806</v>
      </c>
      <c r="J48" s="78">
        <f t="shared" si="8"/>
        <v>13986</v>
      </c>
      <c r="K48" s="78">
        <f t="shared" si="8"/>
        <v>13500</v>
      </c>
      <c r="L48" s="78">
        <f t="shared" si="8"/>
        <v>4629</v>
      </c>
      <c r="M48" s="78">
        <f t="shared" si="8"/>
        <v>0</v>
      </c>
      <c r="N48" s="78">
        <f t="shared" si="8"/>
        <v>0</v>
      </c>
      <c r="O48" s="78">
        <f t="shared" si="8"/>
        <v>379.5</v>
      </c>
      <c r="P48" s="78">
        <f t="shared" si="8"/>
        <v>0</v>
      </c>
      <c r="Q48" s="78">
        <f t="shared" si="8"/>
        <v>15000</v>
      </c>
      <c r="R48" s="78">
        <f t="shared" si="8"/>
        <v>30306</v>
      </c>
      <c r="S48" s="78">
        <f t="shared" si="8"/>
        <v>45000</v>
      </c>
      <c r="T48" s="78">
        <f t="shared" si="8"/>
        <v>60022.5</v>
      </c>
      <c r="U48" s="78">
        <f t="shared" si="8"/>
        <v>60000</v>
      </c>
      <c r="V48" s="78">
        <f t="shared" si="8"/>
        <v>55717.5</v>
      </c>
      <c r="W48" s="78">
        <f t="shared" si="8"/>
        <v>55500</v>
      </c>
      <c r="X48" s="78">
        <f t="shared" si="8"/>
        <v>63427.5</v>
      </c>
      <c r="Y48" s="78">
        <f t="shared" si="8"/>
        <v>66750</v>
      </c>
      <c r="Z48" s="78">
        <f t="shared" si="8"/>
        <v>70500</v>
      </c>
      <c r="AA48" s="78">
        <f t="shared" si="8"/>
        <v>85500</v>
      </c>
      <c r="AB48" s="78">
        <f t="shared" si="8"/>
        <v>81000</v>
      </c>
      <c r="AC48" s="78">
        <f t="shared" si="8"/>
        <v>66750</v>
      </c>
      <c r="AD48" s="78">
        <f t="shared" si="8"/>
        <v>58500</v>
      </c>
      <c r="AE48" s="78">
        <f t="shared" si="8"/>
        <v>30000</v>
      </c>
      <c r="AF48" s="78">
        <f t="shared" si="8"/>
        <v>25840.5</v>
      </c>
      <c r="AG48" s="78">
        <f t="shared" si="8"/>
        <v>30627</v>
      </c>
      <c r="AH48" s="78">
        <f t="shared" si="8"/>
        <v>44100</v>
      </c>
      <c r="AI48" s="78">
        <f t="shared" si="8"/>
        <v>65337</v>
      </c>
      <c r="AJ48" s="78">
        <f t="shared" si="8"/>
        <v>65100</v>
      </c>
      <c r="AK48" s="78">
        <f t="shared" si="8"/>
        <v>80487</v>
      </c>
      <c r="AL48" s="78">
        <f t="shared" si="8"/>
        <v>95128.5</v>
      </c>
      <c r="AM48" s="78">
        <f t="shared" si="8"/>
        <v>95100</v>
      </c>
      <c r="AN48" s="78">
        <f t="shared" si="8"/>
        <v>110100</v>
      </c>
      <c r="AO48" s="78">
        <f t="shared" si="8"/>
        <v>87000</v>
      </c>
      <c r="AP48" s="78">
        <f t="shared" si="8"/>
        <v>81000</v>
      </c>
      <c r="AQ48" s="78">
        <f t="shared" si="8"/>
        <v>45000</v>
      </c>
      <c r="AR48" s="78">
        <f t="shared" si="8"/>
        <v>45000</v>
      </c>
      <c r="AS48" s="78">
        <f t="shared" si="8"/>
        <v>30000</v>
      </c>
      <c r="AT48" s="78">
        <f t="shared" si="8"/>
        <v>30000</v>
      </c>
      <c r="AU48" s="78">
        <f t="shared" si="8"/>
        <v>15016.65</v>
      </c>
      <c r="AV48" s="78">
        <f t="shared" si="8"/>
        <v>0</v>
      </c>
      <c r="AW48" s="78">
        <f t="shared" si="8"/>
        <v>17703.3</v>
      </c>
      <c r="AX48" s="78">
        <f t="shared" si="8"/>
        <v>22200</v>
      </c>
      <c r="AY48" s="78">
        <f t="shared" si="8"/>
        <v>31200</v>
      </c>
      <c r="AZ48" s="78">
        <f t="shared" si="8"/>
        <v>54600</v>
      </c>
      <c r="BA48" s="78">
        <f t="shared" si="8"/>
        <v>56850</v>
      </c>
      <c r="BB48" s="78">
        <f t="shared" si="8"/>
        <v>56850</v>
      </c>
      <c r="BC48" s="78">
        <f t="shared" si="8"/>
        <v>54600</v>
      </c>
      <c r="BD48" s="78">
        <f t="shared" si="8"/>
        <v>57000</v>
      </c>
      <c r="BE48" s="78">
        <f t="shared" si="8"/>
        <v>53700</v>
      </c>
      <c r="BF48" s="78">
        <f t="shared" si="8"/>
        <v>53700</v>
      </c>
      <c r="BG48" s="78">
        <f t="shared" si="8"/>
        <v>53700</v>
      </c>
      <c r="BH48" s="78">
        <f t="shared" si="8"/>
        <v>40500</v>
      </c>
      <c r="BI48" s="78">
        <f t="shared" si="8"/>
        <v>40500</v>
      </c>
      <c r="BJ48" s="78">
        <f t="shared" si="8"/>
        <v>40500</v>
      </c>
      <c r="BK48" s="78">
        <f t="shared" si="8"/>
        <v>40500</v>
      </c>
      <c r="BL48" s="78">
        <f t="shared" si="8"/>
        <v>40539</v>
      </c>
      <c r="BM48" s="78">
        <f t="shared" si="8"/>
        <v>40500</v>
      </c>
      <c r="BN48" s="78">
        <f t="shared" si="8"/>
        <v>40500</v>
      </c>
      <c r="BO48" s="78">
        <f t="shared" si="8"/>
        <v>40500</v>
      </c>
      <c r="BP48" s="78">
        <f t="shared" si="8"/>
        <v>40500</v>
      </c>
      <c r="BQ48" s="78">
        <f t="shared" si="8"/>
        <v>40500</v>
      </c>
      <c r="BR48" s="78">
        <f t="shared" si="8"/>
        <v>0</v>
      </c>
      <c r="BS48" s="78">
        <f t="shared" si="8"/>
        <v>0</v>
      </c>
      <c r="BT48" s="78">
        <f t="shared" si="8"/>
        <v>0</v>
      </c>
      <c r="BU48" s="78">
        <f t="shared" si="8"/>
        <v>0</v>
      </c>
      <c r="BV48" s="78">
        <f t="shared" si="8"/>
        <v>15000</v>
      </c>
      <c r="BW48" s="78">
        <f t="shared" si="8"/>
        <v>30000</v>
      </c>
      <c r="BX48" s="78">
        <f t="shared" si="8"/>
        <v>30000</v>
      </c>
      <c r="BY48" s="78">
        <f t="shared" si="8"/>
        <v>15000</v>
      </c>
      <c r="BZ48" s="78">
        <f t="shared" si="8"/>
        <v>15000</v>
      </c>
      <c r="CA48" s="78">
        <f t="shared" si="8"/>
        <v>15000</v>
      </c>
      <c r="CB48" s="78">
        <f t="shared" si="8"/>
        <v>15000</v>
      </c>
      <c r="CC48" s="78">
        <f t="shared" si="8"/>
        <v>0</v>
      </c>
      <c r="CD48" s="78">
        <f t="shared" si="8"/>
        <v>0</v>
      </c>
      <c r="CE48" s="78">
        <f t="shared" si="8"/>
        <v>0</v>
      </c>
      <c r="CF48" s="78">
        <f t="shared" si="8"/>
        <v>0</v>
      </c>
    </row>
    <row r="49" ht="13.5" customHeight="1">
      <c r="A49" s="63"/>
      <c r="B49" s="77" t="s">
        <v>101</v>
      </c>
      <c r="C49" s="79">
        <f>C48+D48+E48+F48+G48</f>
        <v>56250</v>
      </c>
      <c r="D49" s="15"/>
      <c r="E49" s="15"/>
      <c r="F49" s="15"/>
      <c r="G49" s="16"/>
      <c r="H49" s="80">
        <f>H48+I48+J48+K48</f>
        <v>54792</v>
      </c>
      <c r="I49" s="15"/>
      <c r="J49" s="15"/>
      <c r="K49" s="16"/>
      <c r="L49" s="81">
        <f>L48+M48+N48+O48</f>
        <v>5008.5</v>
      </c>
      <c r="M49" s="15"/>
      <c r="N49" s="15"/>
      <c r="O49" s="16"/>
      <c r="P49" s="80">
        <f>P48+Q48+R48+S48</f>
        <v>90306</v>
      </c>
      <c r="Q49" s="15"/>
      <c r="R49" s="15"/>
      <c r="S49" s="16"/>
      <c r="T49" s="81">
        <f>T48+U48+V48+W48+X48</f>
        <v>294667.5</v>
      </c>
      <c r="U49" s="15"/>
      <c r="V49" s="15"/>
      <c r="W49" s="15"/>
      <c r="X49" s="16"/>
      <c r="Y49" s="80">
        <f>Y48+Z48+AA48+AB48</f>
        <v>303750</v>
      </c>
      <c r="Z49" s="15"/>
      <c r="AA49" s="15"/>
      <c r="AB49" s="16"/>
      <c r="AC49" s="81">
        <f>AC48+AD48+AE48+AF48</f>
        <v>181090.5</v>
      </c>
      <c r="AD49" s="15"/>
      <c r="AE49" s="15"/>
      <c r="AF49" s="16"/>
      <c r="AG49" s="82">
        <f>AG48+AH48+AI48+AJ48+AK48</f>
        <v>285651</v>
      </c>
      <c r="AH49" s="15"/>
      <c r="AI49" s="15"/>
      <c r="AJ49" s="15"/>
      <c r="AK49" s="16"/>
      <c r="AL49" s="81">
        <f>AL48+AM48+AN48+AO48</f>
        <v>387328.5</v>
      </c>
      <c r="AM49" s="15"/>
      <c r="AN49" s="15"/>
      <c r="AO49" s="16"/>
      <c r="AP49" s="82">
        <f>AP48+AQ48+AR48+AS48+AT48</f>
        <v>231000</v>
      </c>
      <c r="AQ49" s="15"/>
      <c r="AR49" s="15"/>
      <c r="AS49" s="15"/>
      <c r="AT49" s="16"/>
      <c r="AU49" s="81">
        <f>AU48+AV48+AW48+AX48</f>
        <v>54919.95</v>
      </c>
      <c r="AV49" s="15"/>
      <c r="AW49" s="15"/>
      <c r="AX49" s="16"/>
      <c r="AY49" s="82">
        <f>AY48+AZ48+BA48+BB48</f>
        <v>199500</v>
      </c>
      <c r="AZ49" s="15"/>
      <c r="BA49" s="15"/>
      <c r="BB49" s="16"/>
      <c r="BC49" s="79">
        <f>BC48+BD48+BE48+BF48+BG48</f>
        <v>272700</v>
      </c>
      <c r="BD49" s="15"/>
      <c r="BE49" s="15"/>
      <c r="BF49" s="15"/>
      <c r="BG49" s="16"/>
      <c r="BH49" s="80">
        <f>BH48+BI48+BJ48+BK48</f>
        <v>162000</v>
      </c>
      <c r="BI49" s="15"/>
      <c r="BJ49" s="15"/>
      <c r="BK49" s="16"/>
      <c r="BL49" s="81">
        <f>BL48+BM48+BN48+BO48</f>
        <v>162039</v>
      </c>
      <c r="BM49" s="15"/>
      <c r="BN49" s="15"/>
      <c r="BO49" s="16"/>
      <c r="BP49" s="80">
        <f>BP48+BQ48+BR48+BS48</f>
        <v>81000</v>
      </c>
      <c r="BQ49" s="15"/>
      <c r="BR49" s="15"/>
      <c r="BS49" s="16"/>
      <c r="BT49" s="81">
        <f>BT48+BU48+BV48+BW48+BX48</f>
        <v>75000</v>
      </c>
      <c r="BU49" s="15"/>
      <c r="BV49" s="15"/>
      <c r="BW49" s="15"/>
      <c r="BX49" s="16"/>
      <c r="BY49" s="80">
        <f>BY48+BZ48+CA48+CB48</f>
        <v>60000</v>
      </c>
      <c r="BZ49" s="15"/>
      <c r="CA49" s="15"/>
      <c r="CB49" s="16"/>
      <c r="CC49" s="81">
        <f>CC48+CD48+CE48+CF48</f>
        <v>0</v>
      </c>
      <c r="CD49" s="15"/>
      <c r="CE49" s="15"/>
      <c r="CF49" s="16"/>
    </row>
    <row r="50" ht="13.5" customHeight="1">
      <c r="A50" s="63"/>
      <c r="B50" s="83" t="s">
        <v>102</v>
      </c>
      <c r="C50" s="84">
        <f>SUM(C49:BB49)</f>
        <v>2144263.95</v>
      </c>
      <c r="D50" s="85"/>
      <c r="E50" s="85"/>
      <c r="F50" s="85"/>
      <c r="G50" s="86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</row>
    <row r="51" ht="13.5" customHeight="1">
      <c r="A51" s="88">
        <f>SUM(C51:BE51)</f>
        <v>125405</v>
      </c>
      <c r="B51" s="89" t="s">
        <v>103</v>
      </c>
      <c r="C51" s="90">
        <v>6990.0</v>
      </c>
      <c r="D51" s="90">
        <v>16409.0</v>
      </c>
      <c r="E51" s="91">
        <v>21660.0</v>
      </c>
      <c r="F51" s="92">
        <v>40173.0</v>
      </c>
      <c r="G51" s="92">
        <v>40173.0</v>
      </c>
      <c r="H51" s="63"/>
      <c r="I51" s="63"/>
      <c r="J51" s="5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</row>
    <row r="52" ht="13.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</row>
    <row r="53" ht="13.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</row>
    <row r="54" ht="13.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</row>
    <row r="55" ht="13.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</row>
    <row r="56" ht="13.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</row>
    <row r="57" ht="13.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</row>
    <row r="58" ht="13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</row>
    <row r="59" ht="13.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</row>
    <row r="60" ht="13.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</row>
    <row r="61" ht="13.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</row>
    <row r="62" ht="13.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</row>
    <row r="63" ht="13.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</row>
    <row r="64" ht="13.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</row>
    <row r="65" ht="13.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</row>
    <row r="66" ht="13.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</row>
    <row r="67" ht="13.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</row>
    <row r="68" ht="13.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</row>
    <row r="69" ht="13.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</row>
    <row r="70" ht="13.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</row>
    <row r="71" ht="13.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</row>
    <row r="72" ht="13.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</row>
    <row r="73" ht="13.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</row>
    <row r="74" ht="13.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</row>
    <row r="75" ht="13.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</row>
    <row r="76" ht="13.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</row>
    <row r="77" ht="13.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</row>
    <row r="78" ht="13.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</row>
    <row r="79" ht="13.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</row>
    <row r="80" ht="13.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</row>
    <row r="81" ht="13.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</row>
    <row r="82" ht="13.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</row>
    <row r="83" ht="13.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</row>
    <row r="84" ht="13.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</row>
    <row r="85" ht="13.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</row>
    <row r="86" ht="13.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</row>
    <row r="87" ht="13.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</row>
    <row r="88" ht="13.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</row>
    <row r="89" ht="13.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</row>
    <row r="90" ht="13.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</row>
    <row r="91" ht="13.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</row>
    <row r="92" ht="13.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</row>
    <row r="93" ht="13.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</row>
    <row r="94" ht="13.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</row>
    <row r="95" ht="13.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</row>
    <row r="96" ht="13.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</row>
    <row r="97" ht="13.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</row>
    <row r="98" ht="13.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</row>
    <row r="99" ht="13.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</row>
    <row r="100" ht="13.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</row>
    <row r="101" ht="13.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</row>
    <row r="102" ht="13.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</row>
    <row r="103" ht="13.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</row>
    <row r="104" ht="13.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</row>
    <row r="105" ht="13.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</row>
    <row r="106" ht="13.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</row>
    <row r="107" ht="13.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</row>
    <row r="108" ht="13.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</row>
    <row r="109" ht="13.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</row>
    <row r="110" ht="13.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</row>
    <row r="111" ht="13.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</row>
    <row r="112" ht="13.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</row>
    <row r="113" ht="13.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</row>
    <row r="114" ht="13.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</row>
    <row r="115" ht="13.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</row>
    <row r="116" ht="13.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</row>
    <row r="117" ht="13.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</row>
    <row r="118" ht="13.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</row>
    <row r="119" ht="13.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</row>
    <row r="120" ht="13.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</row>
    <row r="121" ht="13.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</row>
    <row r="122" ht="13.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</row>
    <row r="123" ht="13.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</row>
    <row r="124" ht="13.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</row>
    <row r="125" ht="13.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</row>
    <row r="126" ht="13.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</row>
    <row r="127" ht="13.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</row>
    <row r="128" ht="13.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</row>
    <row r="129" ht="13.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</row>
    <row r="130" ht="13.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</row>
    <row r="131" ht="13.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</row>
    <row r="132" ht="13.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</row>
    <row r="133" ht="13.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</row>
    <row r="134" ht="13.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</row>
    <row r="135" ht="13.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</row>
    <row r="136" ht="13.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</row>
    <row r="137" ht="13.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</row>
    <row r="138" ht="13.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</row>
    <row r="139" ht="13.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</row>
    <row r="140" ht="13.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</row>
    <row r="141" ht="13.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</row>
    <row r="142" ht="13.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</row>
    <row r="143" ht="13.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</row>
    <row r="144" ht="13.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</row>
    <row r="145" ht="13.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</row>
    <row r="146" ht="13.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</row>
    <row r="147" ht="13.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</row>
    <row r="148" ht="13.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</row>
    <row r="149" ht="13.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</row>
    <row r="150" ht="13.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</row>
    <row r="151" ht="13.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</row>
    <row r="152" ht="13.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</row>
    <row r="153" ht="13.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</row>
    <row r="154" ht="13.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</row>
    <row r="155" ht="13.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</row>
    <row r="156" ht="13.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</row>
    <row r="157" ht="13.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</row>
    <row r="158" ht="13.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</row>
    <row r="159" ht="13.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</row>
    <row r="160" ht="13.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</row>
    <row r="161" ht="13.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</row>
    <row r="162" ht="13.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</row>
    <row r="163" ht="13.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</row>
    <row r="164" ht="13.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</row>
    <row r="165" ht="13.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</row>
    <row r="166" ht="13.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</row>
    <row r="167" ht="13.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</row>
    <row r="168" ht="13.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</row>
    <row r="169" ht="13.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</row>
    <row r="170" ht="13.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</row>
    <row r="171" ht="13.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</row>
    <row r="172" ht="13.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</row>
    <row r="173" ht="13.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</row>
    <row r="174" ht="13.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</row>
    <row r="175" ht="13.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</row>
    <row r="176" ht="13.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</row>
    <row r="177" ht="13.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</row>
    <row r="178" ht="13.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</row>
    <row r="179" ht="13.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</row>
    <row r="180" ht="13.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</row>
    <row r="181" ht="13.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</row>
    <row r="182" ht="13.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</row>
    <row r="183" ht="13.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</row>
    <row r="184" ht="13.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</row>
    <row r="185" ht="13.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</row>
    <row r="186" ht="13.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</row>
    <row r="187" ht="13.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</row>
    <row r="188" ht="13.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</row>
    <row r="189" ht="13.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</row>
    <row r="190" ht="13.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</row>
    <row r="191" ht="13.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</row>
    <row r="192" ht="13.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</row>
    <row r="193" ht="13.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</row>
    <row r="194" ht="13.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  <c r="CD194" s="53"/>
      <c r="CE194" s="53"/>
      <c r="CF194" s="53"/>
    </row>
    <row r="195" ht="13.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</row>
    <row r="196" ht="13.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</row>
    <row r="197" ht="13.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</row>
    <row r="198" ht="13.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</row>
    <row r="199" ht="13.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</row>
    <row r="200" ht="13.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</row>
    <row r="201" ht="13.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</row>
    <row r="202" ht="13.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</row>
    <row r="203" ht="13.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</row>
    <row r="204" ht="13.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  <c r="CD204" s="53"/>
      <c r="CE204" s="53"/>
      <c r="CF204" s="53"/>
    </row>
    <row r="205" ht="13.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</row>
    <row r="206" ht="13.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3"/>
      <c r="CF206" s="53"/>
    </row>
    <row r="207" ht="13.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</row>
    <row r="208" ht="13.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  <c r="CD208" s="53"/>
      <c r="CE208" s="53"/>
      <c r="CF208" s="53"/>
    </row>
    <row r="209" ht="13.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</row>
    <row r="210" ht="13.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</row>
    <row r="211" ht="13.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</row>
    <row r="212" ht="13.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</row>
    <row r="213" ht="13.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</row>
    <row r="214" ht="13.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  <c r="CD214" s="53"/>
      <c r="CE214" s="53"/>
      <c r="CF214" s="53"/>
    </row>
    <row r="215" ht="13.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</row>
    <row r="216" ht="13.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</row>
    <row r="217" ht="13.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</row>
    <row r="218" ht="13.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  <c r="CD218" s="53"/>
      <c r="CE218" s="53"/>
      <c r="CF218" s="53"/>
    </row>
    <row r="219" ht="13.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</row>
    <row r="220" ht="13.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  <c r="CD220" s="53"/>
      <c r="CE220" s="53"/>
      <c r="CF220" s="53"/>
    </row>
    <row r="221" ht="13.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</row>
    <row r="222" ht="13.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  <c r="CD222" s="53"/>
      <c r="CE222" s="53"/>
      <c r="CF222" s="53"/>
    </row>
    <row r="223" ht="13.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</row>
    <row r="224" ht="13.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  <c r="CD224" s="53"/>
      <c r="CE224" s="53"/>
      <c r="CF224" s="53"/>
    </row>
    <row r="225" ht="13.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  <c r="CD225" s="53"/>
      <c r="CE225" s="53"/>
      <c r="CF225" s="53"/>
    </row>
    <row r="226" ht="13.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</row>
    <row r="227" ht="13.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  <c r="CD227" s="53"/>
      <c r="CE227" s="53"/>
      <c r="CF227" s="53"/>
    </row>
    <row r="228" ht="13.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  <c r="CD228" s="53"/>
      <c r="CE228" s="53"/>
      <c r="CF228" s="53"/>
    </row>
    <row r="229" ht="13.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  <c r="CD229" s="53"/>
      <c r="CE229" s="53"/>
      <c r="CF229" s="53"/>
    </row>
    <row r="230" ht="13.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  <c r="CD230" s="53"/>
      <c r="CE230" s="53"/>
      <c r="CF230" s="53"/>
    </row>
    <row r="231" ht="13.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  <c r="CD231" s="53"/>
      <c r="CE231" s="53"/>
      <c r="CF231" s="53"/>
    </row>
    <row r="232" ht="13.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  <c r="CD232" s="53"/>
      <c r="CE232" s="53"/>
      <c r="CF232" s="53"/>
    </row>
    <row r="233" ht="13.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</row>
    <row r="234" ht="13.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  <c r="CD234" s="53"/>
      <c r="CE234" s="53"/>
      <c r="CF234" s="53"/>
    </row>
    <row r="235" ht="13.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  <c r="CD235" s="53"/>
      <c r="CE235" s="53"/>
      <c r="CF235" s="53"/>
    </row>
    <row r="236" ht="13.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  <c r="CD236" s="53"/>
      <c r="CE236" s="53"/>
      <c r="CF236" s="53"/>
    </row>
    <row r="237" ht="13.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  <c r="CD237" s="53"/>
      <c r="CE237" s="53"/>
      <c r="CF237" s="53"/>
    </row>
    <row r="238" ht="13.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  <c r="CD238" s="53"/>
      <c r="CE238" s="53"/>
      <c r="CF238" s="53"/>
    </row>
    <row r="239" ht="13.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  <c r="CD239" s="53"/>
      <c r="CE239" s="53"/>
      <c r="CF239" s="53"/>
    </row>
    <row r="240" ht="13.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  <c r="CD240" s="53"/>
      <c r="CE240" s="53"/>
      <c r="CF240" s="53"/>
    </row>
    <row r="241" ht="13.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</row>
    <row r="242" ht="13.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  <c r="CD242" s="53"/>
      <c r="CE242" s="53"/>
      <c r="CF242" s="53"/>
    </row>
    <row r="243" ht="13.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</row>
    <row r="244" ht="13.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  <c r="CD244" s="53"/>
      <c r="CE244" s="53"/>
      <c r="CF244" s="53"/>
    </row>
    <row r="245" ht="13.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</row>
    <row r="246" ht="13.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  <c r="CD246" s="53"/>
      <c r="CE246" s="53"/>
      <c r="CF246" s="53"/>
    </row>
    <row r="247" ht="13.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</row>
    <row r="248" ht="13.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</row>
    <row r="249" ht="13.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</row>
    <row r="250" ht="13.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  <c r="CD250" s="53"/>
      <c r="CE250" s="53"/>
      <c r="CF250" s="53"/>
    </row>
    <row r="251" ht="13.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  <c r="CD251" s="53"/>
      <c r="CE251" s="53"/>
      <c r="CF251" s="53"/>
    </row>
    <row r="252" ht="13.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  <c r="CD252" s="53"/>
      <c r="CE252" s="53"/>
      <c r="CF252" s="53"/>
    </row>
    <row r="253" ht="13.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  <c r="CD253" s="53"/>
      <c r="CE253" s="53"/>
      <c r="CF253" s="53"/>
    </row>
    <row r="254" ht="13.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  <c r="CD254" s="53"/>
      <c r="CE254" s="53"/>
      <c r="CF254" s="53"/>
    </row>
    <row r="255" ht="13.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  <c r="CD255" s="53"/>
      <c r="CE255" s="53"/>
      <c r="CF255" s="53"/>
    </row>
    <row r="256" ht="13.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  <c r="CD256" s="53"/>
      <c r="CE256" s="53"/>
      <c r="CF256" s="53"/>
    </row>
    <row r="257" ht="13.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  <c r="CD257" s="53"/>
      <c r="CE257" s="53"/>
      <c r="CF257" s="53"/>
    </row>
    <row r="258" ht="13.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  <c r="CD258" s="53"/>
      <c r="CE258" s="53"/>
      <c r="CF258" s="53"/>
    </row>
    <row r="259" ht="13.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  <c r="CD259" s="53"/>
      <c r="CE259" s="53"/>
      <c r="CF259" s="53"/>
    </row>
    <row r="260" ht="13.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  <c r="CD260" s="53"/>
      <c r="CE260" s="53"/>
      <c r="CF260" s="53"/>
    </row>
    <row r="261" ht="13.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</row>
    <row r="262" ht="13.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  <c r="CD262" s="53"/>
      <c r="CE262" s="53"/>
      <c r="CF262" s="53"/>
    </row>
    <row r="263" ht="13.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  <c r="CD263" s="53"/>
      <c r="CE263" s="53"/>
      <c r="CF263" s="53"/>
    </row>
    <row r="264" ht="13.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  <c r="CD264" s="53"/>
      <c r="CE264" s="53"/>
      <c r="CF264" s="53"/>
    </row>
    <row r="265" ht="13.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</row>
    <row r="266" ht="13.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  <c r="CD266" s="53"/>
      <c r="CE266" s="53"/>
      <c r="CF266" s="53"/>
    </row>
    <row r="267" ht="13.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</row>
    <row r="268" ht="13.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  <c r="CD268" s="53"/>
      <c r="CE268" s="53"/>
      <c r="CF268" s="53"/>
    </row>
    <row r="269" ht="13.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  <c r="CD269" s="53"/>
      <c r="CE269" s="53"/>
      <c r="CF269" s="53"/>
    </row>
    <row r="270" ht="13.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  <c r="CD270" s="53"/>
      <c r="CE270" s="53"/>
      <c r="CF270" s="53"/>
    </row>
    <row r="271" ht="13.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  <c r="CD271" s="53"/>
      <c r="CE271" s="53"/>
      <c r="CF271" s="53"/>
    </row>
    <row r="272" ht="13.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</row>
    <row r="273" ht="13.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  <c r="CD273" s="53"/>
      <c r="CE273" s="53"/>
      <c r="CF273" s="53"/>
    </row>
    <row r="274" ht="13.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  <c r="CD274" s="53"/>
      <c r="CE274" s="53"/>
      <c r="CF274" s="53"/>
    </row>
    <row r="275" ht="13.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  <c r="CD275" s="53"/>
      <c r="CE275" s="53"/>
      <c r="CF275" s="53"/>
    </row>
    <row r="276" ht="13.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  <c r="CD276" s="53"/>
      <c r="CE276" s="53"/>
      <c r="CF276" s="53"/>
    </row>
    <row r="277" ht="13.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</row>
    <row r="278" ht="13.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  <c r="CD278" s="53"/>
      <c r="CE278" s="53"/>
      <c r="CF278" s="53"/>
    </row>
    <row r="279" ht="13.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</row>
    <row r="280" ht="13.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  <c r="CD280" s="53"/>
      <c r="CE280" s="53"/>
      <c r="CF280" s="53"/>
    </row>
    <row r="281" ht="13.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</row>
    <row r="282" ht="13.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  <c r="CD282" s="53"/>
      <c r="CE282" s="53"/>
      <c r="CF282" s="53"/>
    </row>
    <row r="283" ht="13.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  <c r="CD283" s="53"/>
      <c r="CE283" s="53"/>
      <c r="CF283" s="53"/>
    </row>
    <row r="284" ht="13.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  <c r="CD284" s="53"/>
      <c r="CE284" s="53"/>
      <c r="CF284" s="53"/>
    </row>
    <row r="285" ht="13.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  <c r="CD285" s="53"/>
      <c r="CE285" s="53"/>
      <c r="CF285" s="53"/>
    </row>
    <row r="286" ht="13.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  <c r="CD286" s="53"/>
      <c r="CE286" s="53"/>
      <c r="CF286" s="53"/>
    </row>
    <row r="287" ht="13.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  <c r="CD287" s="53"/>
      <c r="CE287" s="53"/>
      <c r="CF287" s="53"/>
    </row>
    <row r="288" ht="13.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  <c r="CD288" s="53"/>
      <c r="CE288" s="53"/>
      <c r="CF288" s="53"/>
    </row>
    <row r="289" ht="13.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</row>
    <row r="290" ht="13.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</row>
    <row r="291" ht="13.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  <c r="CD291" s="53"/>
      <c r="CE291" s="53"/>
      <c r="CF291" s="53"/>
    </row>
    <row r="292" ht="13.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  <c r="CD292" s="53"/>
      <c r="CE292" s="53"/>
      <c r="CF292" s="53"/>
    </row>
    <row r="293" ht="13.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</row>
    <row r="294" ht="13.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  <c r="CD294" s="53"/>
      <c r="CE294" s="53"/>
      <c r="CF294" s="53"/>
    </row>
    <row r="295" ht="13.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  <c r="CD295" s="53"/>
      <c r="CE295" s="53"/>
      <c r="CF295" s="53"/>
    </row>
    <row r="296" ht="13.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  <c r="CD296" s="53"/>
      <c r="CE296" s="53"/>
      <c r="CF296" s="53"/>
    </row>
    <row r="297" ht="13.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</row>
    <row r="298" ht="13.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  <c r="CD298" s="53"/>
      <c r="CE298" s="53"/>
      <c r="CF298" s="53"/>
    </row>
    <row r="299" ht="13.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</row>
    <row r="300" ht="13.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</row>
    <row r="301" ht="13.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</row>
    <row r="302" ht="13.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  <c r="CD302" s="53"/>
      <c r="CE302" s="53"/>
      <c r="CF302" s="53"/>
    </row>
    <row r="303" ht="13.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</row>
    <row r="304" ht="13.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  <c r="CD304" s="53"/>
      <c r="CE304" s="53"/>
      <c r="CF304" s="53"/>
    </row>
    <row r="305" ht="13.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  <c r="CD305" s="53"/>
      <c r="CE305" s="53"/>
      <c r="CF305" s="53"/>
    </row>
    <row r="306" ht="13.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  <c r="CD306" s="53"/>
      <c r="CE306" s="53"/>
      <c r="CF306" s="53"/>
    </row>
    <row r="307" ht="13.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  <c r="CD307" s="53"/>
      <c r="CE307" s="53"/>
      <c r="CF307" s="53"/>
    </row>
    <row r="308" ht="13.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  <c r="CD308" s="53"/>
      <c r="CE308" s="53"/>
      <c r="CF308" s="53"/>
    </row>
    <row r="309" ht="13.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</row>
    <row r="310" ht="13.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  <c r="CD310" s="53"/>
      <c r="CE310" s="53"/>
      <c r="CF310" s="53"/>
    </row>
    <row r="311" ht="13.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</row>
    <row r="312" ht="13.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  <c r="CD312" s="53"/>
      <c r="CE312" s="53"/>
      <c r="CF312" s="53"/>
    </row>
    <row r="313" ht="13.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</row>
    <row r="314" ht="13.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  <c r="CD314" s="53"/>
      <c r="CE314" s="53"/>
      <c r="CF314" s="53"/>
    </row>
    <row r="315" ht="13.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</row>
    <row r="316" ht="13.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</row>
    <row r="317" ht="13.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  <c r="CD317" s="53"/>
      <c r="CE317" s="53"/>
      <c r="CF317" s="53"/>
    </row>
    <row r="318" ht="13.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  <c r="CD318" s="53"/>
      <c r="CE318" s="53"/>
      <c r="CF318" s="53"/>
    </row>
    <row r="319" ht="13.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  <c r="CD319" s="53"/>
      <c r="CE319" s="53"/>
      <c r="CF319" s="53"/>
    </row>
    <row r="320" ht="13.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  <c r="CD320" s="53"/>
      <c r="CE320" s="53"/>
      <c r="CF320" s="53"/>
    </row>
    <row r="321" ht="13.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</row>
    <row r="322" ht="13.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  <c r="CD322" s="53"/>
      <c r="CE322" s="53"/>
      <c r="CF322" s="53"/>
    </row>
    <row r="323" ht="13.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  <c r="CD323" s="53"/>
      <c r="CE323" s="53"/>
      <c r="CF323" s="53"/>
    </row>
    <row r="324" ht="13.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  <c r="CD324" s="53"/>
      <c r="CE324" s="53"/>
      <c r="CF324" s="53"/>
    </row>
    <row r="325" ht="13.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</row>
    <row r="326" ht="13.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</row>
    <row r="327" ht="13.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</row>
    <row r="328" ht="13.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  <c r="CD328" s="53"/>
      <c r="CE328" s="53"/>
      <c r="CF328" s="53"/>
    </row>
    <row r="329" ht="13.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</row>
    <row r="330" ht="13.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  <c r="CD330" s="53"/>
      <c r="CE330" s="53"/>
      <c r="CF330" s="53"/>
    </row>
    <row r="331" ht="13.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  <c r="CE331" s="53"/>
      <c r="CF331" s="53"/>
    </row>
    <row r="332" ht="13.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  <c r="CD332" s="53"/>
      <c r="CE332" s="53"/>
      <c r="CF332" s="53"/>
    </row>
    <row r="333" ht="13.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</row>
    <row r="334" ht="13.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  <c r="CD334" s="53"/>
      <c r="CE334" s="53"/>
      <c r="CF334" s="53"/>
    </row>
    <row r="335" ht="13.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  <c r="CD335" s="53"/>
      <c r="CE335" s="53"/>
      <c r="CF335" s="53"/>
    </row>
    <row r="336" ht="13.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  <c r="CD336" s="53"/>
      <c r="CE336" s="53"/>
      <c r="CF336" s="53"/>
    </row>
    <row r="337" ht="13.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</row>
    <row r="338" ht="13.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  <c r="CD338" s="53"/>
      <c r="CE338" s="53"/>
      <c r="CF338" s="53"/>
    </row>
    <row r="339" ht="13.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  <c r="CD339" s="53"/>
      <c r="CE339" s="53"/>
      <c r="CF339" s="53"/>
    </row>
    <row r="340" ht="13.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  <c r="CD340" s="53"/>
      <c r="CE340" s="53"/>
      <c r="CF340" s="53"/>
    </row>
    <row r="341" ht="13.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  <c r="CD341" s="53"/>
      <c r="CE341" s="53"/>
      <c r="CF341" s="53"/>
    </row>
    <row r="342" ht="13.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  <c r="CD342" s="53"/>
      <c r="CE342" s="53"/>
      <c r="CF342" s="53"/>
    </row>
    <row r="343" ht="13.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  <c r="CD343" s="53"/>
      <c r="CE343" s="53"/>
      <c r="CF343" s="53"/>
    </row>
    <row r="344" ht="13.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  <c r="CD344" s="53"/>
      <c r="CE344" s="53"/>
      <c r="CF344" s="53"/>
    </row>
    <row r="345" ht="13.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</row>
    <row r="346" ht="13.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  <c r="CD346" s="53"/>
      <c r="CE346" s="53"/>
      <c r="CF346" s="53"/>
    </row>
    <row r="347" ht="13.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  <c r="CD347" s="53"/>
      <c r="CE347" s="53"/>
      <c r="CF347" s="53"/>
    </row>
    <row r="348" ht="13.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  <c r="CD348" s="53"/>
      <c r="CE348" s="53"/>
      <c r="CF348" s="53"/>
    </row>
    <row r="349" ht="13.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</row>
    <row r="350" ht="13.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</row>
    <row r="351" ht="13.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</row>
    <row r="352" ht="13.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  <c r="CD352" s="53"/>
      <c r="CE352" s="53"/>
      <c r="CF352" s="53"/>
    </row>
    <row r="353" ht="13.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</row>
    <row r="354" ht="13.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  <c r="CD354" s="53"/>
      <c r="CE354" s="53"/>
      <c r="CF354" s="53"/>
    </row>
    <row r="355" ht="13.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  <c r="CD355" s="53"/>
      <c r="CE355" s="53"/>
      <c r="CF355" s="53"/>
    </row>
    <row r="356" ht="13.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</row>
    <row r="357" ht="13.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</row>
    <row r="358" ht="13.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</row>
    <row r="359" ht="13.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</row>
    <row r="360" ht="13.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  <c r="CD360" s="53"/>
      <c r="CE360" s="53"/>
      <c r="CF360" s="53"/>
    </row>
    <row r="361" ht="13.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</row>
    <row r="362" ht="13.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</row>
    <row r="363" ht="13.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</row>
    <row r="364" ht="13.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</row>
    <row r="365" ht="13.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</row>
    <row r="366" ht="13.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  <c r="CD366" s="53"/>
      <c r="CE366" s="53"/>
      <c r="CF366" s="53"/>
    </row>
    <row r="367" ht="13.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</row>
    <row r="368" ht="13.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</row>
    <row r="369" ht="13.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</row>
    <row r="370" ht="13.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  <c r="CD370" s="53"/>
      <c r="CE370" s="53"/>
      <c r="CF370" s="53"/>
    </row>
    <row r="371" ht="13.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</row>
    <row r="372" ht="13.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  <c r="CD372" s="53"/>
      <c r="CE372" s="53"/>
      <c r="CF372" s="53"/>
    </row>
    <row r="373" ht="13.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</row>
    <row r="374" ht="13.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  <c r="CD374" s="53"/>
      <c r="CE374" s="53"/>
      <c r="CF374" s="53"/>
    </row>
    <row r="375" ht="13.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</row>
    <row r="376" ht="13.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  <c r="CD376" s="53"/>
      <c r="CE376" s="53"/>
      <c r="CF376" s="53"/>
    </row>
    <row r="377" ht="13.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</row>
    <row r="378" ht="13.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  <c r="CD378" s="53"/>
      <c r="CE378" s="53"/>
      <c r="CF378" s="53"/>
    </row>
    <row r="379" ht="13.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</row>
    <row r="380" ht="13.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</row>
    <row r="381" ht="13.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</row>
    <row r="382" ht="13.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</row>
    <row r="383" ht="13.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</row>
    <row r="384" ht="13.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  <c r="CD384" s="53"/>
      <c r="CE384" s="53"/>
      <c r="CF384" s="53"/>
    </row>
    <row r="385" ht="13.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</row>
    <row r="386" ht="13.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</row>
    <row r="387" ht="13.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</row>
    <row r="388" ht="13.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</row>
    <row r="389" ht="13.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</row>
    <row r="390" ht="13.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</row>
    <row r="391" ht="13.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  <c r="CD391" s="53"/>
      <c r="CE391" s="53"/>
      <c r="CF391" s="53"/>
    </row>
    <row r="392" ht="13.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  <c r="CD392" s="53"/>
      <c r="CE392" s="53"/>
      <c r="CF392" s="53"/>
    </row>
    <row r="393" ht="13.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</row>
    <row r="394" ht="13.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</row>
    <row r="395" ht="13.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</row>
    <row r="396" ht="13.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  <c r="CD396" s="53"/>
      <c r="CE396" s="53"/>
      <c r="CF396" s="53"/>
    </row>
    <row r="397" ht="13.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</row>
    <row r="398" ht="13.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  <c r="CD398" s="53"/>
      <c r="CE398" s="53"/>
      <c r="CF398" s="53"/>
    </row>
    <row r="399" ht="13.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</row>
    <row r="400" ht="13.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</row>
    <row r="401" ht="13.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</row>
    <row r="402" ht="13.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  <c r="CD402" s="53"/>
      <c r="CE402" s="53"/>
      <c r="CF402" s="53"/>
    </row>
    <row r="403" ht="13.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</row>
    <row r="404" ht="13.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</row>
    <row r="405" ht="13.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</row>
    <row r="406" ht="13.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  <c r="CD406" s="53"/>
      <c r="CE406" s="53"/>
      <c r="CF406" s="53"/>
    </row>
    <row r="407" ht="13.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</row>
    <row r="408" ht="13.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  <c r="CD408" s="53"/>
      <c r="CE408" s="53"/>
      <c r="CF408" s="53"/>
    </row>
    <row r="409" ht="13.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</row>
    <row r="410" ht="13.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</row>
    <row r="411" ht="13.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</row>
    <row r="412" ht="13.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</row>
    <row r="413" ht="13.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</row>
    <row r="414" ht="13.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  <c r="CD414" s="53"/>
      <c r="CE414" s="53"/>
      <c r="CF414" s="53"/>
    </row>
    <row r="415" ht="13.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</row>
    <row r="416" ht="13.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  <c r="CD416" s="53"/>
      <c r="CE416" s="53"/>
      <c r="CF416" s="53"/>
    </row>
    <row r="417" ht="13.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</row>
    <row r="418" ht="13.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</row>
    <row r="419" ht="13.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</row>
    <row r="420" ht="13.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  <c r="CD420" s="53"/>
      <c r="CE420" s="53"/>
      <c r="CF420" s="53"/>
    </row>
    <row r="421" ht="13.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</row>
    <row r="422" ht="13.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  <c r="CD422" s="53"/>
      <c r="CE422" s="53"/>
      <c r="CF422" s="53"/>
    </row>
    <row r="423" ht="13.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</row>
    <row r="424" ht="13.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  <c r="CD424" s="53"/>
      <c r="CE424" s="53"/>
      <c r="CF424" s="53"/>
    </row>
    <row r="425" ht="13.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</row>
    <row r="426" ht="13.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  <c r="CD426" s="53"/>
      <c r="CE426" s="53"/>
      <c r="CF426" s="53"/>
    </row>
    <row r="427" ht="13.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</row>
    <row r="428" ht="13.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  <c r="CD428" s="53"/>
      <c r="CE428" s="53"/>
      <c r="CF428" s="53"/>
    </row>
    <row r="429" ht="13.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</row>
    <row r="430" ht="13.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  <c r="CD430" s="53"/>
      <c r="CE430" s="53"/>
      <c r="CF430" s="53"/>
    </row>
    <row r="431" ht="13.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</row>
    <row r="432" ht="13.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  <c r="CD432" s="53"/>
      <c r="CE432" s="53"/>
      <c r="CF432" s="53"/>
    </row>
    <row r="433" ht="13.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</row>
    <row r="434" ht="13.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</row>
    <row r="435" ht="13.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</row>
    <row r="436" ht="13.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</row>
    <row r="437" ht="13.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</row>
    <row r="438" ht="13.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  <c r="CD438" s="53"/>
      <c r="CE438" s="53"/>
      <c r="CF438" s="53"/>
    </row>
    <row r="439" ht="13.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</row>
    <row r="440" ht="13.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</row>
    <row r="441" ht="13.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</row>
    <row r="442" ht="13.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  <c r="CD442" s="53"/>
      <c r="CE442" s="53"/>
      <c r="CF442" s="53"/>
    </row>
    <row r="443" ht="13.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</row>
    <row r="444" ht="13.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  <c r="CD444" s="53"/>
      <c r="CE444" s="53"/>
      <c r="CF444" s="53"/>
    </row>
    <row r="445" ht="13.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</row>
    <row r="446" ht="13.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</row>
    <row r="447" ht="13.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</row>
    <row r="448" ht="13.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</row>
    <row r="449" ht="13.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</row>
    <row r="450" ht="13.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  <c r="CD450" s="53"/>
      <c r="CE450" s="53"/>
      <c r="CF450" s="53"/>
    </row>
    <row r="451" ht="13.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</row>
    <row r="452" ht="13.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</row>
    <row r="453" ht="13.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  <c r="CD453" s="53"/>
      <c r="CE453" s="53"/>
      <c r="CF453" s="53"/>
    </row>
    <row r="454" ht="13.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  <c r="CD454" s="53"/>
      <c r="CE454" s="53"/>
      <c r="CF454" s="53"/>
    </row>
    <row r="455" ht="13.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</row>
    <row r="456" ht="13.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  <c r="CD456" s="53"/>
      <c r="CE456" s="53"/>
      <c r="CF456" s="53"/>
    </row>
    <row r="457" ht="13.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  <c r="CD457" s="53"/>
      <c r="CE457" s="53"/>
      <c r="CF457" s="53"/>
    </row>
    <row r="458" ht="13.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  <c r="CD458" s="53"/>
      <c r="CE458" s="53"/>
      <c r="CF458" s="53"/>
    </row>
    <row r="459" ht="13.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  <c r="CD459" s="53"/>
      <c r="CE459" s="53"/>
      <c r="CF459" s="53"/>
    </row>
    <row r="460" ht="13.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  <c r="CD460" s="53"/>
      <c r="CE460" s="53"/>
      <c r="CF460" s="53"/>
    </row>
    <row r="461" ht="13.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  <c r="CD461" s="53"/>
      <c r="CE461" s="53"/>
      <c r="CF461" s="53"/>
    </row>
    <row r="462" ht="13.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  <c r="CD462" s="53"/>
      <c r="CE462" s="53"/>
      <c r="CF462" s="53"/>
    </row>
    <row r="463" ht="13.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  <c r="CD463" s="53"/>
      <c r="CE463" s="53"/>
      <c r="CF463" s="53"/>
    </row>
    <row r="464" ht="13.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</row>
    <row r="465" ht="13.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  <c r="CD465" s="53"/>
      <c r="CE465" s="53"/>
      <c r="CF465" s="53"/>
    </row>
    <row r="466" ht="13.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  <c r="CD466" s="53"/>
      <c r="CE466" s="53"/>
      <c r="CF466" s="53"/>
    </row>
    <row r="467" ht="13.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  <c r="CD467" s="53"/>
      <c r="CE467" s="53"/>
      <c r="CF467" s="53"/>
    </row>
    <row r="468" ht="13.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  <c r="CD468" s="53"/>
      <c r="CE468" s="53"/>
      <c r="CF468" s="53"/>
    </row>
    <row r="469" ht="13.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</row>
    <row r="470" ht="13.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  <c r="CD470" s="53"/>
      <c r="CE470" s="53"/>
      <c r="CF470" s="53"/>
    </row>
    <row r="471" ht="13.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  <c r="CD471" s="53"/>
      <c r="CE471" s="53"/>
      <c r="CF471" s="53"/>
    </row>
    <row r="472" ht="13.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  <c r="CD472" s="53"/>
      <c r="CE472" s="53"/>
      <c r="CF472" s="53"/>
    </row>
    <row r="473" ht="13.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  <c r="CD473" s="53"/>
      <c r="CE473" s="53"/>
      <c r="CF473" s="53"/>
    </row>
    <row r="474" ht="13.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  <c r="CD474" s="53"/>
      <c r="CE474" s="53"/>
      <c r="CF474" s="53"/>
    </row>
    <row r="475" ht="13.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  <c r="CD475" s="53"/>
      <c r="CE475" s="53"/>
      <c r="CF475" s="53"/>
    </row>
    <row r="476" ht="13.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  <c r="CD476" s="53"/>
      <c r="CE476" s="53"/>
      <c r="CF476" s="53"/>
    </row>
    <row r="477" ht="13.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  <c r="CD477" s="53"/>
      <c r="CE477" s="53"/>
      <c r="CF477" s="53"/>
    </row>
    <row r="478" ht="13.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  <c r="CD478" s="53"/>
      <c r="CE478" s="53"/>
      <c r="CF478" s="53"/>
    </row>
    <row r="479" ht="13.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  <c r="CD479" s="53"/>
      <c r="CE479" s="53"/>
      <c r="CF479" s="53"/>
    </row>
    <row r="480" ht="13.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  <c r="CD480" s="53"/>
      <c r="CE480" s="53"/>
      <c r="CF480" s="53"/>
    </row>
    <row r="481" ht="13.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  <c r="CD481" s="53"/>
      <c r="CE481" s="53"/>
      <c r="CF481" s="53"/>
    </row>
    <row r="482" ht="13.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  <c r="CD482" s="53"/>
      <c r="CE482" s="53"/>
      <c r="CF482" s="53"/>
    </row>
    <row r="483" ht="13.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  <c r="CD483" s="53"/>
      <c r="CE483" s="53"/>
      <c r="CF483" s="53"/>
    </row>
    <row r="484" ht="13.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</row>
    <row r="485" ht="13.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</row>
    <row r="486" ht="13.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</row>
    <row r="487" ht="13.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</row>
    <row r="488" ht="13.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</row>
    <row r="489" ht="13.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  <c r="CD489" s="53"/>
      <c r="CE489" s="53"/>
      <c r="CF489" s="53"/>
    </row>
    <row r="490" ht="13.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  <c r="CD490" s="53"/>
      <c r="CE490" s="53"/>
      <c r="CF490" s="53"/>
    </row>
    <row r="491" ht="13.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  <c r="CD491" s="53"/>
      <c r="CE491" s="53"/>
      <c r="CF491" s="53"/>
    </row>
    <row r="492" ht="13.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  <c r="CD492" s="53"/>
      <c r="CE492" s="53"/>
      <c r="CF492" s="53"/>
    </row>
    <row r="493" ht="13.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  <c r="CD493" s="53"/>
      <c r="CE493" s="53"/>
      <c r="CF493" s="53"/>
    </row>
    <row r="494" ht="13.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  <c r="CD494" s="53"/>
      <c r="CE494" s="53"/>
      <c r="CF494" s="53"/>
    </row>
    <row r="495" ht="13.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  <c r="CD495" s="53"/>
      <c r="CE495" s="53"/>
      <c r="CF495" s="53"/>
    </row>
    <row r="496" ht="13.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  <c r="CD496" s="53"/>
      <c r="CE496" s="53"/>
      <c r="CF496" s="53"/>
    </row>
    <row r="497" ht="13.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  <c r="CD497" s="53"/>
      <c r="CE497" s="53"/>
      <c r="CF497" s="53"/>
    </row>
    <row r="498" ht="13.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</row>
    <row r="499" ht="13.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  <c r="CD499" s="53"/>
      <c r="CE499" s="53"/>
      <c r="CF499" s="53"/>
    </row>
    <row r="500" ht="13.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  <c r="CD500" s="53"/>
      <c r="CE500" s="53"/>
      <c r="CF500" s="53"/>
    </row>
    <row r="501" ht="13.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  <c r="CD501" s="53"/>
      <c r="CE501" s="53"/>
      <c r="CF501" s="53"/>
    </row>
    <row r="502" ht="13.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  <c r="CD502" s="53"/>
      <c r="CE502" s="53"/>
      <c r="CF502" s="53"/>
    </row>
    <row r="503" ht="13.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  <c r="CD503" s="53"/>
      <c r="CE503" s="53"/>
      <c r="CF503" s="53"/>
    </row>
    <row r="504" ht="13.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  <c r="CD504" s="53"/>
      <c r="CE504" s="53"/>
      <c r="CF504" s="53"/>
    </row>
    <row r="505" ht="13.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  <c r="CD505" s="53"/>
      <c r="CE505" s="53"/>
      <c r="CF505" s="53"/>
    </row>
    <row r="506" ht="13.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  <c r="CD506" s="53"/>
      <c r="CE506" s="53"/>
      <c r="CF506" s="53"/>
    </row>
    <row r="507" ht="13.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  <c r="CD507" s="53"/>
      <c r="CE507" s="53"/>
      <c r="CF507" s="53"/>
    </row>
    <row r="508" ht="13.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</row>
    <row r="509" ht="13.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  <c r="CD509" s="53"/>
      <c r="CE509" s="53"/>
      <c r="CF509" s="53"/>
    </row>
    <row r="510" ht="13.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  <c r="CD510" s="53"/>
      <c r="CE510" s="53"/>
      <c r="CF510" s="53"/>
    </row>
    <row r="511" ht="13.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  <c r="CD511" s="53"/>
      <c r="CE511" s="53"/>
      <c r="CF511" s="53"/>
    </row>
    <row r="512" ht="13.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  <c r="CD512" s="53"/>
      <c r="CE512" s="53"/>
      <c r="CF512" s="53"/>
    </row>
    <row r="513" ht="13.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  <c r="CD513" s="53"/>
      <c r="CE513" s="53"/>
      <c r="CF513" s="53"/>
    </row>
    <row r="514" ht="13.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  <c r="CD514" s="53"/>
      <c r="CE514" s="53"/>
      <c r="CF514" s="53"/>
    </row>
    <row r="515" ht="13.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  <c r="CD515" s="53"/>
      <c r="CE515" s="53"/>
      <c r="CF515" s="53"/>
    </row>
    <row r="516" ht="13.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  <c r="CD516" s="53"/>
      <c r="CE516" s="53"/>
      <c r="CF516" s="53"/>
    </row>
    <row r="517" ht="13.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  <c r="CD517" s="53"/>
      <c r="CE517" s="53"/>
      <c r="CF517" s="53"/>
    </row>
    <row r="518" ht="13.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  <c r="CD518" s="53"/>
      <c r="CE518" s="53"/>
      <c r="CF518" s="53"/>
    </row>
    <row r="519" ht="13.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</row>
    <row r="520" ht="13.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</row>
    <row r="521" ht="13.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</row>
    <row r="522" ht="13.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</row>
    <row r="523" ht="13.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</row>
    <row r="524" ht="13.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  <c r="CD524" s="53"/>
      <c r="CE524" s="53"/>
      <c r="CF524" s="53"/>
    </row>
    <row r="525" ht="13.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  <c r="CD525" s="53"/>
      <c r="CE525" s="53"/>
      <c r="CF525" s="53"/>
    </row>
    <row r="526" ht="13.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  <c r="CD526" s="53"/>
      <c r="CE526" s="53"/>
      <c r="CF526" s="53"/>
    </row>
    <row r="527" ht="13.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</row>
    <row r="528" ht="13.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  <c r="CD528" s="53"/>
      <c r="CE528" s="53"/>
      <c r="CF528" s="53"/>
    </row>
    <row r="529" ht="13.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  <c r="CD529" s="53"/>
      <c r="CE529" s="53"/>
      <c r="CF529" s="53"/>
    </row>
    <row r="530" ht="13.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  <c r="CD530" s="53"/>
      <c r="CE530" s="53"/>
      <c r="CF530" s="53"/>
    </row>
    <row r="531" ht="13.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  <c r="CD531" s="53"/>
      <c r="CE531" s="53"/>
      <c r="CF531" s="53"/>
    </row>
    <row r="532" ht="13.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</row>
    <row r="533" ht="13.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</row>
    <row r="534" ht="13.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</row>
    <row r="535" ht="13.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  <c r="CD535" s="53"/>
      <c r="CE535" s="53"/>
      <c r="CF535" s="53"/>
    </row>
    <row r="536" ht="13.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</row>
    <row r="537" ht="13.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</row>
    <row r="538" ht="13.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  <c r="CD538" s="53"/>
      <c r="CE538" s="53"/>
      <c r="CF538" s="53"/>
    </row>
    <row r="539" ht="13.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</row>
    <row r="540" ht="13.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</row>
    <row r="541" ht="13.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</row>
    <row r="542" ht="13.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</row>
    <row r="543" ht="13.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  <c r="CD543" s="53"/>
      <c r="CE543" s="53"/>
      <c r="CF543" s="53"/>
    </row>
    <row r="544" ht="13.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  <c r="CD544" s="53"/>
      <c r="CE544" s="53"/>
      <c r="CF544" s="53"/>
    </row>
    <row r="545" ht="13.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  <c r="CD545" s="53"/>
      <c r="CE545" s="53"/>
      <c r="CF545" s="53"/>
    </row>
    <row r="546" ht="13.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</row>
    <row r="547" ht="13.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</row>
    <row r="548" ht="13.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</row>
    <row r="549" ht="13.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</row>
    <row r="550" ht="13.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  <c r="CD550" s="53"/>
      <c r="CE550" s="53"/>
      <c r="CF550" s="53"/>
    </row>
    <row r="551" ht="13.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</row>
    <row r="552" ht="13.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</row>
    <row r="553" ht="13.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</row>
    <row r="554" ht="13.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</row>
    <row r="555" ht="13.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</row>
    <row r="556" ht="13.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</row>
    <row r="557" ht="13.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</row>
    <row r="558" ht="13.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  <c r="CD558" s="53"/>
      <c r="CE558" s="53"/>
      <c r="CF558" s="53"/>
    </row>
    <row r="559" ht="13.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  <c r="CD559" s="53"/>
      <c r="CE559" s="53"/>
      <c r="CF559" s="53"/>
    </row>
    <row r="560" ht="13.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  <c r="CD560" s="53"/>
      <c r="CE560" s="53"/>
      <c r="CF560" s="53"/>
    </row>
    <row r="561" ht="13.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</row>
    <row r="562" ht="13.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</row>
    <row r="563" ht="13.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</row>
    <row r="564" ht="13.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</row>
    <row r="565" ht="13.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  <c r="CD565" s="53"/>
      <c r="CE565" s="53"/>
      <c r="CF565" s="53"/>
    </row>
    <row r="566" ht="13.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</row>
    <row r="567" ht="13.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</row>
    <row r="568" ht="13.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</row>
    <row r="569" ht="13.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  <c r="CD569" s="53"/>
      <c r="CE569" s="53"/>
      <c r="CF569" s="53"/>
    </row>
    <row r="570" ht="13.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</row>
    <row r="571" ht="13.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</row>
    <row r="572" ht="13.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</row>
    <row r="573" ht="13.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  <c r="CD573" s="53"/>
      <c r="CE573" s="53"/>
      <c r="CF573" s="53"/>
    </row>
    <row r="574" ht="13.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  <c r="CD574" s="53"/>
      <c r="CE574" s="53"/>
      <c r="CF574" s="53"/>
    </row>
    <row r="575" ht="13.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  <c r="CD575" s="53"/>
      <c r="CE575" s="53"/>
      <c r="CF575" s="53"/>
    </row>
    <row r="576" ht="13.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  <c r="CD576" s="53"/>
      <c r="CE576" s="53"/>
      <c r="CF576" s="53"/>
    </row>
    <row r="577" ht="13.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</row>
    <row r="578" ht="13.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  <c r="CD578" s="53"/>
      <c r="CE578" s="53"/>
      <c r="CF578" s="53"/>
    </row>
    <row r="579" ht="13.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  <c r="CD579" s="53"/>
      <c r="CE579" s="53"/>
      <c r="CF579" s="53"/>
    </row>
    <row r="580" ht="13.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  <c r="CD580" s="53"/>
      <c r="CE580" s="53"/>
      <c r="CF580" s="53"/>
    </row>
    <row r="581" ht="13.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  <c r="CD581" s="53"/>
      <c r="CE581" s="53"/>
      <c r="CF581" s="53"/>
    </row>
    <row r="582" ht="13.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  <c r="CD582" s="53"/>
      <c r="CE582" s="53"/>
      <c r="CF582" s="53"/>
    </row>
    <row r="583" ht="13.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  <c r="CD583" s="53"/>
      <c r="CE583" s="53"/>
      <c r="CF583" s="53"/>
    </row>
    <row r="584" ht="13.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</row>
    <row r="585" ht="13.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</row>
    <row r="586" ht="13.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</row>
    <row r="587" ht="13.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</row>
    <row r="588" ht="13.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</row>
    <row r="589" ht="13.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  <c r="CD589" s="53"/>
      <c r="CE589" s="53"/>
      <c r="CF589" s="53"/>
    </row>
    <row r="590" ht="13.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  <c r="CD590" s="53"/>
      <c r="CE590" s="53"/>
      <c r="CF590" s="53"/>
    </row>
    <row r="591" ht="13.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  <c r="CD591" s="53"/>
      <c r="CE591" s="53"/>
      <c r="CF591" s="53"/>
    </row>
    <row r="592" ht="13.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  <c r="CD592" s="53"/>
      <c r="CE592" s="53"/>
      <c r="CF592" s="53"/>
    </row>
    <row r="593" ht="13.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  <c r="CD593" s="53"/>
      <c r="CE593" s="53"/>
      <c r="CF593" s="53"/>
    </row>
    <row r="594" ht="13.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  <c r="CD594" s="53"/>
      <c r="CE594" s="53"/>
      <c r="CF594" s="53"/>
    </row>
    <row r="595" ht="13.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  <c r="CD595" s="53"/>
      <c r="CE595" s="53"/>
      <c r="CF595" s="53"/>
    </row>
    <row r="596" ht="13.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  <c r="CD596" s="53"/>
      <c r="CE596" s="53"/>
      <c r="CF596" s="53"/>
    </row>
    <row r="597" ht="13.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  <c r="CD597" s="53"/>
      <c r="CE597" s="53"/>
      <c r="CF597" s="53"/>
    </row>
    <row r="598" ht="13.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  <c r="CD598" s="53"/>
      <c r="CE598" s="53"/>
      <c r="CF598" s="53"/>
    </row>
    <row r="599" ht="13.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  <c r="CD599" s="53"/>
      <c r="CE599" s="53"/>
      <c r="CF599" s="53"/>
    </row>
    <row r="600" ht="13.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  <c r="CD600" s="53"/>
      <c r="CE600" s="53"/>
      <c r="CF600" s="53"/>
    </row>
    <row r="601" ht="13.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</row>
    <row r="602" ht="13.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</row>
    <row r="603" ht="13.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  <c r="CD603" s="53"/>
      <c r="CE603" s="53"/>
      <c r="CF603" s="53"/>
    </row>
    <row r="604" ht="13.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  <c r="CD604" s="53"/>
      <c r="CE604" s="53"/>
      <c r="CF604" s="53"/>
    </row>
    <row r="605" ht="13.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  <c r="CD605" s="53"/>
      <c r="CE605" s="53"/>
      <c r="CF605" s="53"/>
    </row>
    <row r="606" ht="13.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  <c r="CD606" s="53"/>
      <c r="CE606" s="53"/>
      <c r="CF606" s="53"/>
    </row>
    <row r="607" ht="13.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  <c r="CD607" s="53"/>
      <c r="CE607" s="53"/>
      <c r="CF607" s="53"/>
    </row>
    <row r="608" ht="13.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  <c r="CD608" s="53"/>
      <c r="CE608" s="53"/>
      <c r="CF608" s="53"/>
    </row>
    <row r="609" ht="13.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</row>
    <row r="610" ht="13.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  <c r="CD610" s="53"/>
      <c r="CE610" s="53"/>
      <c r="CF610" s="53"/>
    </row>
    <row r="611" ht="13.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  <c r="CD611" s="53"/>
      <c r="CE611" s="53"/>
      <c r="CF611" s="53"/>
    </row>
    <row r="612" ht="13.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  <c r="CD612" s="53"/>
      <c r="CE612" s="53"/>
      <c r="CF612" s="53"/>
    </row>
    <row r="613" ht="13.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  <c r="CD613" s="53"/>
      <c r="CE613" s="53"/>
      <c r="CF613" s="53"/>
    </row>
    <row r="614" ht="13.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  <c r="CD614" s="53"/>
      <c r="CE614" s="53"/>
      <c r="CF614" s="53"/>
    </row>
    <row r="615" ht="13.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  <c r="CD615" s="53"/>
      <c r="CE615" s="53"/>
      <c r="CF615" s="53"/>
    </row>
    <row r="616" ht="13.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</row>
    <row r="617" ht="13.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  <c r="CD617" s="53"/>
      <c r="CE617" s="53"/>
      <c r="CF617" s="53"/>
    </row>
    <row r="618" ht="13.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</row>
    <row r="619" ht="13.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</row>
    <row r="620" ht="13.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  <c r="CD620" s="53"/>
      <c r="CE620" s="53"/>
      <c r="CF620" s="53"/>
    </row>
    <row r="621" ht="13.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  <c r="CD621" s="53"/>
      <c r="CE621" s="53"/>
      <c r="CF621" s="53"/>
    </row>
    <row r="622" ht="13.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  <c r="CD622" s="53"/>
      <c r="CE622" s="53"/>
      <c r="CF622" s="53"/>
    </row>
    <row r="623" ht="13.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  <c r="CD623" s="53"/>
      <c r="CE623" s="53"/>
      <c r="CF623" s="53"/>
    </row>
    <row r="624" ht="13.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  <c r="CD624" s="53"/>
      <c r="CE624" s="53"/>
      <c r="CF624" s="53"/>
    </row>
    <row r="625" ht="13.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</row>
    <row r="626" ht="13.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</row>
    <row r="627" ht="13.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  <c r="CD627" s="53"/>
      <c r="CE627" s="53"/>
      <c r="CF627" s="53"/>
    </row>
    <row r="628" ht="13.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  <c r="CD628" s="53"/>
      <c r="CE628" s="53"/>
      <c r="CF628" s="53"/>
    </row>
    <row r="629" ht="13.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  <c r="CD629" s="53"/>
      <c r="CE629" s="53"/>
      <c r="CF629" s="53"/>
    </row>
    <row r="630" ht="13.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  <c r="CD630" s="53"/>
      <c r="CE630" s="53"/>
      <c r="CF630" s="53"/>
    </row>
    <row r="631" ht="13.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  <c r="CD631" s="53"/>
      <c r="CE631" s="53"/>
      <c r="CF631" s="53"/>
    </row>
    <row r="632" ht="13.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  <c r="CD632" s="53"/>
      <c r="CE632" s="53"/>
      <c r="CF632" s="53"/>
    </row>
    <row r="633" ht="13.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  <c r="CD633" s="53"/>
      <c r="CE633" s="53"/>
      <c r="CF633" s="53"/>
    </row>
    <row r="634" ht="13.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  <c r="CD634" s="53"/>
      <c r="CE634" s="53"/>
      <c r="CF634" s="53"/>
    </row>
    <row r="635" ht="13.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  <c r="CD635" s="53"/>
      <c r="CE635" s="53"/>
      <c r="CF635" s="53"/>
    </row>
    <row r="636" ht="13.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  <c r="CD636" s="53"/>
      <c r="CE636" s="53"/>
      <c r="CF636" s="53"/>
    </row>
    <row r="637" ht="13.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  <c r="CD637" s="53"/>
      <c r="CE637" s="53"/>
      <c r="CF637" s="53"/>
    </row>
    <row r="638" ht="13.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  <c r="CD638" s="53"/>
      <c r="CE638" s="53"/>
      <c r="CF638" s="53"/>
    </row>
    <row r="639" ht="13.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</row>
    <row r="640" ht="13.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</row>
    <row r="641" ht="13.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</row>
    <row r="642" ht="13.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  <c r="CD642" s="53"/>
      <c r="CE642" s="53"/>
      <c r="CF642" s="53"/>
    </row>
    <row r="643" ht="13.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  <c r="CD643" s="53"/>
      <c r="CE643" s="53"/>
      <c r="CF643" s="53"/>
    </row>
    <row r="644" ht="13.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  <c r="CD644" s="53"/>
      <c r="CE644" s="53"/>
      <c r="CF644" s="53"/>
    </row>
    <row r="645" ht="13.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  <c r="CD645" s="53"/>
      <c r="CE645" s="53"/>
      <c r="CF645" s="53"/>
    </row>
    <row r="646" ht="13.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  <c r="CD646" s="53"/>
      <c r="CE646" s="53"/>
      <c r="CF646" s="53"/>
    </row>
    <row r="647" ht="13.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  <c r="CD647" s="53"/>
      <c r="CE647" s="53"/>
      <c r="CF647" s="53"/>
    </row>
    <row r="648" ht="13.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  <c r="CD648" s="53"/>
      <c r="CE648" s="53"/>
      <c r="CF648" s="53"/>
    </row>
    <row r="649" ht="13.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  <c r="CD649" s="53"/>
      <c r="CE649" s="53"/>
      <c r="CF649" s="53"/>
    </row>
    <row r="650" ht="13.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</row>
    <row r="651" ht="13.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  <c r="CD651" s="53"/>
      <c r="CE651" s="53"/>
      <c r="CF651" s="53"/>
    </row>
    <row r="652" ht="13.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  <c r="CD652" s="53"/>
      <c r="CE652" s="53"/>
      <c r="CF652" s="53"/>
    </row>
    <row r="653" ht="13.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  <c r="CD653" s="53"/>
      <c r="CE653" s="53"/>
      <c r="CF653" s="53"/>
    </row>
    <row r="654" ht="13.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  <c r="CD654" s="53"/>
      <c r="CE654" s="53"/>
      <c r="CF654" s="53"/>
    </row>
    <row r="655" ht="13.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  <c r="CD655" s="53"/>
      <c r="CE655" s="53"/>
      <c r="CF655" s="53"/>
    </row>
    <row r="656" ht="13.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  <c r="CD656" s="53"/>
      <c r="CE656" s="53"/>
      <c r="CF656" s="53"/>
    </row>
    <row r="657" ht="13.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  <c r="CD657" s="53"/>
      <c r="CE657" s="53"/>
      <c r="CF657" s="53"/>
    </row>
    <row r="658" ht="13.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  <c r="CD658" s="53"/>
      <c r="CE658" s="53"/>
      <c r="CF658" s="53"/>
    </row>
    <row r="659" ht="13.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  <c r="CD659" s="53"/>
      <c r="CE659" s="53"/>
      <c r="CF659" s="53"/>
    </row>
    <row r="660" ht="13.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  <c r="CD660" s="53"/>
      <c r="CE660" s="53"/>
      <c r="CF660" s="53"/>
    </row>
    <row r="661" ht="13.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  <c r="CD661" s="53"/>
      <c r="CE661" s="53"/>
      <c r="CF661" s="53"/>
    </row>
    <row r="662" ht="13.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  <c r="CD662" s="53"/>
      <c r="CE662" s="53"/>
      <c r="CF662" s="53"/>
    </row>
    <row r="663" ht="13.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</row>
    <row r="664" ht="13.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</row>
    <row r="665" ht="13.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</row>
    <row r="666" ht="13.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</row>
    <row r="667" ht="13.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</row>
    <row r="668" ht="13.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  <c r="CD668" s="53"/>
      <c r="CE668" s="53"/>
      <c r="CF668" s="53"/>
    </row>
    <row r="669" ht="13.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  <c r="CD669" s="53"/>
      <c r="CE669" s="53"/>
      <c r="CF669" s="53"/>
    </row>
    <row r="670" ht="13.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  <c r="CD670" s="53"/>
      <c r="CE670" s="53"/>
      <c r="CF670" s="53"/>
    </row>
    <row r="671" ht="13.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  <c r="CD671" s="53"/>
      <c r="CE671" s="53"/>
      <c r="CF671" s="53"/>
    </row>
    <row r="672" ht="13.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  <c r="CD672" s="53"/>
      <c r="CE672" s="53"/>
      <c r="CF672" s="53"/>
    </row>
    <row r="673" ht="13.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  <c r="CD673" s="53"/>
      <c r="CE673" s="53"/>
      <c r="CF673" s="53"/>
    </row>
    <row r="674" ht="13.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  <c r="CD674" s="53"/>
      <c r="CE674" s="53"/>
      <c r="CF674" s="53"/>
    </row>
    <row r="675" ht="13.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</row>
    <row r="676" ht="13.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</row>
    <row r="677" ht="13.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</row>
    <row r="678" ht="13.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</row>
    <row r="679" ht="13.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</row>
    <row r="680" ht="13.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</row>
    <row r="681" ht="13.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</row>
    <row r="682" ht="13.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  <c r="CD682" s="53"/>
      <c r="CE682" s="53"/>
      <c r="CF682" s="53"/>
    </row>
    <row r="683" ht="13.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  <c r="CD683" s="53"/>
      <c r="CE683" s="53"/>
      <c r="CF683" s="53"/>
    </row>
    <row r="684" ht="13.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  <c r="CD684" s="53"/>
      <c r="CE684" s="53"/>
      <c r="CF684" s="53"/>
    </row>
    <row r="685" ht="13.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</row>
    <row r="686" ht="13.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</row>
    <row r="687" ht="13.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</row>
    <row r="688" ht="13.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</row>
    <row r="689" ht="13.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</row>
    <row r="690" ht="13.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</row>
    <row r="691" ht="13.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  <c r="CD691" s="53"/>
      <c r="CE691" s="53"/>
      <c r="CF691" s="53"/>
    </row>
    <row r="692" ht="13.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  <c r="CD692" s="53"/>
      <c r="CE692" s="53"/>
      <c r="CF692" s="53"/>
    </row>
    <row r="693" ht="13.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  <c r="CD693" s="53"/>
      <c r="CE693" s="53"/>
      <c r="CF693" s="53"/>
    </row>
    <row r="694" ht="13.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  <c r="CD694" s="53"/>
      <c r="CE694" s="53"/>
      <c r="CF694" s="53"/>
    </row>
    <row r="695" ht="13.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  <c r="CD695" s="53"/>
      <c r="CE695" s="53"/>
      <c r="CF695" s="53"/>
    </row>
    <row r="696" ht="13.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</row>
    <row r="697" ht="13.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</row>
    <row r="698" ht="13.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</row>
    <row r="699" ht="13.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</row>
    <row r="700" ht="13.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</row>
    <row r="701" ht="13.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  <c r="CD701" s="53"/>
      <c r="CE701" s="53"/>
      <c r="CF701" s="53"/>
    </row>
    <row r="702" ht="13.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  <c r="CD702" s="53"/>
      <c r="CE702" s="53"/>
      <c r="CF702" s="53"/>
    </row>
    <row r="703" ht="13.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  <c r="CD703" s="53"/>
      <c r="CE703" s="53"/>
      <c r="CF703" s="53"/>
    </row>
    <row r="704" ht="13.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  <c r="CD704" s="53"/>
      <c r="CE704" s="53"/>
      <c r="CF704" s="53"/>
    </row>
    <row r="705" ht="13.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  <c r="CD705" s="53"/>
      <c r="CE705" s="53"/>
      <c r="CF705" s="53"/>
    </row>
    <row r="706" ht="13.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</row>
    <row r="707" ht="13.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  <c r="CD707" s="53"/>
      <c r="CE707" s="53"/>
      <c r="CF707" s="53"/>
    </row>
    <row r="708" ht="13.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  <c r="CD708" s="53"/>
      <c r="CE708" s="53"/>
      <c r="CF708" s="53"/>
    </row>
    <row r="709" ht="13.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  <c r="CD709" s="53"/>
      <c r="CE709" s="53"/>
      <c r="CF709" s="53"/>
    </row>
    <row r="710" ht="13.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  <c r="CD710" s="53"/>
      <c r="CE710" s="53"/>
      <c r="CF710" s="53"/>
    </row>
    <row r="711" ht="13.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  <c r="CD711" s="53"/>
      <c r="CE711" s="53"/>
      <c r="CF711" s="53"/>
    </row>
    <row r="712" ht="13.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  <c r="CD712" s="53"/>
      <c r="CE712" s="53"/>
      <c r="CF712" s="53"/>
    </row>
    <row r="713" ht="13.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  <c r="CD713" s="53"/>
      <c r="CE713" s="53"/>
      <c r="CF713" s="53"/>
    </row>
    <row r="714" ht="13.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  <c r="CD714" s="53"/>
      <c r="CE714" s="53"/>
      <c r="CF714" s="53"/>
    </row>
    <row r="715" ht="13.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  <c r="CD715" s="53"/>
      <c r="CE715" s="53"/>
      <c r="CF715" s="53"/>
    </row>
    <row r="716" ht="13.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  <c r="CD716" s="53"/>
      <c r="CE716" s="53"/>
      <c r="CF716" s="53"/>
    </row>
    <row r="717" ht="13.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  <c r="CD717" s="53"/>
      <c r="CE717" s="53"/>
      <c r="CF717" s="53"/>
    </row>
    <row r="718" ht="13.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  <c r="CD718" s="53"/>
      <c r="CE718" s="53"/>
      <c r="CF718" s="53"/>
    </row>
    <row r="719" ht="13.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  <c r="CD719" s="53"/>
      <c r="CE719" s="53"/>
      <c r="CF719" s="53"/>
    </row>
    <row r="720" ht="13.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</row>
    <row r="721" ht="13.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  <c r="CD721" s="53"/>
      <c r="CE721" s="53"/>
      <c r="CF721" s="53"/>
    </row>
    <row r="722" ht="13.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  <c r="CD722" s="53"/>
      <c r="CE722" s="53"/>
      <c r="CF722" s="53"/>
    </row>
    <row r="723" ht="13.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</row>
    <row r="724" ht="13.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  <c r="CD724" s="53"/>
      <c r="CE724" s="53"/>
      <c r="CF724" s="53"/>
    </row>
    <row r="725" ht="13.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  <c r="CD725" s="53"/>
      <c r="CE725" s="53"/>
      <c r="CF725" s="53"/>
    </row>
    <row r="726" ht="13.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  <c r="CD726" s="53"/>
      <c r="CE726" s="53"/>
      <c r="CF726" s="53"/>
    </row>
    <row r="727" ht="13.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  <c r="CD727" s="53"/>
      <c r="CE727" s="53"/>
      <c r="CF727" s="53"/>
    </row>
    <row r="728" ht="13.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  <c r="CD728" s="53"/>
      <c r="CE728" s="53"/>
      <c r="CF728" s="53"/>
    </row>
    <row r="729" ht="13.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  <c r="CD729" s="53"/>
      <c r="CE729" s="53"/>
      <c r="CF729" s="53"/>
    </row>
    <row r="730" ht="13.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  <c r="CD730" s="53"/>
      <c r="CE730" s="53"/>
      <c r="CF730" s="53"/>
    </row>
    <row r="731" ht="13.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  <c r="CD731" s="53"/>
      <c r="CE731" s="53"/>
      <c r="CF731" s="53"/>
    </row>
    <row r="732" ht="13.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  <c r="CD732" s="53"/>
      <c r="CE732" s="53"/>
      <c r="CF732" s="53"/>
    </row>
    <row r="733" ht="13.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  <c r="CD733" s="53"/>
      <c r="CE733" s="53"/>
      <c r="CF733" s="53"/>
    </row>
    <row r="734" ht="13.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  <c r="CD734" s="53"/>
      <c r="CE734" s="53"/>
      <c r="CF734" s="53"/>
    </row>
    <row r="735" ht="13.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  <c r="CD735" s="53"/>
      <c r="CE735" s="53"/>
      <c r="CF735" s="53"/>
    </row>
    <row r="736" ht="13.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  <c r="CD736" s="53"/>
      <c r="CE736" s="53"/>
      <c r="CF736" s="53"/>
    </row>
    <row r="737" ht="13.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  <c r="CD737" s="53"/>
      <c r="CE737" s="53"/>
      <c r="CF737" s="53"/>
    </row>
    <row r="738" ht="13.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  <c r="CD738" s="53"/>
      <c r="CE738" s="53"/>
      <c r="CF738" s="53"/>
    </row>
    <row r="739" ht="13.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  <c r="CD739" s="53"/>
      <c r="CE739" s="53"/>
      <c r="CF739" s="53"/>
    </row>
    <row r="740" ht="13.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  <c r="CD740" s="53"/>
      <c r="CE740" s="53"/>
      <c r="CF740" s="53"/>
    </row>
    <row r="741" ht="13.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  <c r="CD741" s="53"/>
      <c r="CE741" s="53"/>
      <c r="CF741" s="53"/>
    </row>
    <row r="742" ht="13.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  <c r="CD742" s="53"/>
      <c r="CE742" s="53"/>
      <c r="CF742" s="53"/>
    </row>
    <row r="743" ht="13.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  <c r="CD743" s="53"/>
      <c r="CE743" s="53"/>
      <c r="CF743" s="53"/>
    </row>
    <row r="744" ht="13.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  <c r="CD744" s="53"/>
      <c r="CE744" s="53"/>
      <c r="CF744" s="53"/>
    </row>
    <row r="745" ht="13.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  <c r="CD745" s="53"/>
      <c r="CE745" s="53"/>
      <c r="CF745" s="53"/>
    </row>
    <row r="746" ht="13.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  <c r="CD746" s="53"/>
      <c r="CE746" s="53"/>
      <c r="CF746" s="53"/>
    </row>
    <row r="747" ht="13.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  <c r="CD747" s="53"/>
      <c r="CE747" s="53"/>
      <c r="CF747" s="53"/>
    </row>
    <row r="748" ht="13.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  <c r="CD748" s="53"/>
      <c r="CE748" s="53"/>
      <c r="CF748" s="53"/>
    </row>
    <row r="749" ht="13.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  <c r="CD749" s="53"/>
      <c r="CE749" s="53"/>
      <c r="CF749" s="53"/>
    </row>
    <row r="750" ht="13.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  <c r="CD750" s="53"/>
      <c r="CE750" s="53"/>
      <c r="CF750" s="53"/>
    </row>
    <row r="751" ht="13.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  <c r="CD751" s="53"/>
      <c r="CE751" s="53"/>
      <c r="CF751" s="53"/>
    </row>
    <row r="752" ht="13.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  <c r="CD752" s="53"/>
      <c r="CE752" s="53"/>
      <c r="CF752" s="53"/>
    </row>
    <row r="753" ht="13.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  <c r="CD753" s="53"/>
      <c r="CE753" s="53"/>
      <c r="CF753" s="53"/>
    </row>
    <row r="754" ht="13.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</row>
    <row r="755" ht="13.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  <c r="CD755" s="53"/>
      <c r="CE755" s="53"/>
      <c r="CF755" s="53"/>
    </row>
    <row r="756" ht="13.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  <c r="CD756" s="53"/>
      <c r="CE756" s="53"/>
      <c r="CF756" s="53"/>
    </row>
    <row r="757" ht="13.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  <c r="CD757" s="53"/>
      <c r="CE757" s="53"/>
      <c r="CF757" s="53"/>
    </row>
    <row r="758" ht="13.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  <c r="CD758" s="53"/>
      <c r="CE758" s="53"/>
      <c r="CF758" s="53"/>
    </row>
    <row r="759" ht="13.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  <c r="CD759" s="53"/>
      <c r="CE759" s="53"/>
      <c r="CF759" s="53"/>
    </row>
    <row r="760" ht="13.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  <c r="CD760" s="53"/>
      <c r="CE760" s="53"/>
      <c r="CF760" s="53"/>
    </row>
    <row r="761" ht="13.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  <c r="CD761" s="53"/>
      <c r="CE761" s="53"/>
      <c r="CF761" s="53"/>
    </row>
    <row r="762" ht="13.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  <c r="CD762" s="53"/>
      <c r="CE762" s="53"/>
      <c r="CF762" s="53"/>
    </row>
    <row r="763" ht="13.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  <c r="CD763" s="53"/>
      <c r="CE763" s="53"/>
      <c r="CF763" s="53"/>
    </row>
    <row r="764" ht="13.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  <c r="CD764" s="53"/>
      <c r="CE764" s="53"/>
      <c r="CF764" s="53"/>
    </row>
    <row r="765" ht="13.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  <c r="CD765" s="53"/>
      <c r="CE765" s="53"/>
      <c r="CF765" s="53"/>
    </row>
    <row r="766" ht="13.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  <c r="CD766" s="53"/>
      <c r="CE766" s="53"/>
      <c r="CF766" s="53"/>
    </row>
    <row r="767" ht="13.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  <c r="CD767" s="53"/>
      <c r="CE767" s="53"/>
      <c r="CF767" s="53"/>
    </row>
    <row r="768" ht="13.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  <c r="CD768" s="53"/>
      <c r="CE768" s="53"/>
      <c r="CF768" s="53"/>
    </row>
    <row r="769" ht="13.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  <c r="CD769" s="53"/>
      <c r="CE769" s="53"/>
      <c r="CF769" s="53"/>
    </row>
    <row r="770" ht="13.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  <c r="CD770" s="53"/>
      <c r="CE770" s="53"/>
      <c r="CF770" s="53"/>
    </row>
    <row r="771" ht="13.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  <c r="CD771" s="53"/>
      <c r="CE771" s="53"/>
      <c r="CF771" s="53"/>
    </row>
    <row r="772" ht="13.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</row>
    <row r="773" ht="13.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  <c r="CD773" s="53"/>
      <c r="CE773" s="53"/>
      <c r="CF773" s="53"/>
    </row>
    <row r="774" ht="13.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  <c r="CD774" s="53"/>
      <c r="CE774" s="53"/>
      <c r="CF774" s="53"/>
    </row>
    <row r="775" ht="13.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  <c r="CD775" s="53"/>
      <c r="CE775" s="53"/>
      <c r="CF775" s="53"/>
    </row>
    <row r="776" ht="13.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  <c r="CD776" s="53"/>
      <c r="CE776" s="53"/>
      <c r="CF776" s="53"/>
    </row>
    <row r="777" ht="13.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  <c r="CD777" s="53"/>
      <c r="CE777" s="53"/>
      <c r="CF777" s="53"/>
    </row>
    <row r="778" ht="13.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  <c r="CD778" s="53"/>
      <c r="CE778" s="53"/>
      <c r="CF778" s="53"/>
    </row>
    <row r="779" ht="13.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  <c r="CD779" s="53"/>
      <c r="CE779" s="53"/>
      <c r="CF779" s="53"/>
    </row>
    <row r="780" ht="13.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  <c r="CD780" s="53"/>
      <c r="CE780" s="53"/>
      <c r="CF780" s="53"/>
    </row>
    <row r="781" ht="13.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  <c r="CD781" s="53"/>
      <c r="CE781" s="53"/>
      <c r="CF781" s="53"/>
    </row>
    <row r="782" ht="13.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</row>
    <row r="783" ht="13.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  <c r="CD783" s="53"/>
      <c r="CE783" s="53"/>
      <c r="CF783" s="53"/>
    </row>
    <row r="784" ht="13.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  <c r="CD784" s="53"/>
      <c r="CE784" s="53"/>
      <c r="CF784" s="53"/>
    </row>
    <row r="785" ht="13.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  <c r="CD785" s="53"/>
      <c r="CE785" s="53"/>
      <c r="CF785" s="53"/>
    </row>
    <row r="786" ht="13.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  <c r="CD786" s="53"/>
      <c r="CE786" s="53"/>
      <c r="CF786" s="53"/>
    </row>
    <row r="787" ht="13.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  <c r="CD787" s="53"/>
      <c r="CE787" s="53"/>
      <c r="CF787" s="53"/>
    </row>
    <row r="788" ht="13.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  <c r="CD788" s="53"/>
      <c r="CE788" s="53"/>
      <c r="CF788" s="53"/>
    </row>
    <row r="789" ht="13.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  <c r="CD789" s="53"/>
      <c r="CE789" s="53"/>
      <c r="CF789" s="53"/>
    </row>
    <row r="790" ht="13.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  <c r="CD790" s="53"/>
      <c r="CE790" s="53"/>
      <c r="CF790" s="53"/>
    </row>
    <row r="791" ht="13.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  <c r="CD791" s="53"/>
      <c r="CE791" s="53"/>
      <c r="CF791" s="53"/>
    </row>
    <row r="792" ht="13.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  <c r="CD792" s="53"/>
      <c r="CE792" s="53"/>
      <c r="CF792" s="53"/>
    </row>
    <row r="793" ht="13.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  <c r="CD793" s="53"/>
      <c r="CE793" s="53"/>
      <c r="CF793" s="53"/>
    </row>
    <row r="794" ht="13.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  <c r="CD794" s="53"/>
      <c r="CE794" s="53"/>
      <c r="CF794" s="53"/>
    </row>
    <row r="795" ht="13.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  <c r="CD795" s="53"/>
      <c r="CE795" s="53"/>
      <c r="CF795" s="53"/>
    </row>
    <row r="796" ht="13.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  <c r="CD796" s="53"/>
      <c r="CE796" s="53"/>
      <c r="CF796" s="53"/>
    </row>
    <row r="797" ht="13.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  <c r="CD797" s="53"/>
      <c r="CE797" s="53"/>
      <c r="CF797" s="53"/>
    </row>
    <row r="798" ht="13.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  <c r="CD798" s="53"/>
      <c r="CE798" s="53"/>
      <c r="CF798" s="53"/>
    </row>
    <row r="799" ht="13.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  <c r="CD799" s="53"/>
      <c r="CE799" s="53"/>
      <c r="CF799" s="53"/>
    </row>
    <row r="800" ht="13.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  <c r="CD800" s="53"/>
      <c r="CE800" s="53"/>
      <c r="CF800" s="53"/>
    </row>
    <row r="801" ht="13.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  <c r="CD801" s="53"/>
      <c r="CE801" s="53"/>
      <c r="CF801" s="53"/>
    </row>
    <row r="802" ht="13.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  <c r="CD802" s="53"/>
      <c r="CE802" s="53"/>
      <c r="CF802" s="53"/>
    </row>
    <row r="803" ht="13.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  <c r="CD803" s="53"/>
      <c r="CE803" s="53"/>
      <c r="CF803" s="53"/>
    </row>
    <row r="804" ht="13.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  <c r="CD804" s="53"/>
      <c r="CE804" s="53"/>
      <c r="CF804" s="53"/>
    </row>
    <row r="805" ht="13.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  <c r="CD805" s="53"/>
      <c r="CE805" s="53"/>
      <c r="CF805" s="53"/>
    </row>
    <row r="806" ht="13.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  <c r="CD806" s="53"/>
      <c r="CE806" s="53"/>
      <c r="CF806" s="53"/>
    </row>
    <row r="807" ht="13.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  <c r="CD807" s="53"/>
      <c r="CE807" s="53"/>
      <c r="CF807" s="53"/>
    </row>
    <row r="808" ht="13.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  <c r="CD808" s="53"/>
      <c r="CE808" s="53"/>
      <c r="CF808" s="53"/>
    </row>
    <row r="809" ht="13.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  <c r="CD809" s="53"/>
      <c r="CE809" s="53"/>
      <c r="CF809" s="53"/>
    </row>
    <row r="810" ht="13.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</row>
    <row r="811" ht="13.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  <c r="CD811" s="53"/>
      <c r="CE811" s="53"/>
      <c r="CF811" s="53"/>
    </row>
    <row r="812" ht="13.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  <c r="CD812" s="53"/>
      <c r="CE812" s="53"/>
      <c r="CF812" s="53"/>
    </row>
    <row r="813" ht="13.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  <c r="CD813" s="53"/>
      <c r="CE813" s="53"/>
      <c r="CF813" s="53"/>
    </row>
    <row r="814" ht="13.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  <c r="CD814" s="53"/>
      <c r="CE814" s="53"/>
      <c r="CF814" s="53"/>
    </row>
    <row r="815" ht="13.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</row>
    <row r="816" ht="13.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</row>
    <row r="817" ht="13.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  <c r="CD817" s="53"/>
      <c r="CE817" s="53"/>
      <c r="CF817" s="53"/>
    </row>
    <row r="818" ht="13.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  <c r="CD818" s="53"/>
      <c r="CE818" s="53"/>
      <c r="CF818" s="53"/>
    </row>
    <row r="819" ht="13.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  <c r="CD819" s="53"/>
      <c r="CE819" s="53"/>
      <c r="CF819" s="53"/>
    </row>
    <row r="820" ht="13.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</row>
    <row r="821" ht="13.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</row>
    <row r="822" ht="13.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</row>
    <row r="823" ht="13.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  <c r="CD823" s="53"/>
      <c r="CE823" s="53"/>
      <c r="CF823" s="53"/>
    </row>
    <row r="824" ht="13.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  <c r="CD824" s="53"/>
      <c r="CE824" s="53"/>
      <c r="CF824" s="53"/>
    </row>
    <row r="825" ht="13.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</row>
    <row r="826" ht="13.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</row>
    <row r="827" ht="13.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  <c r="CD827" s="53"/>
      <c r="CE827" s="53"/>
      <c r="CF827" s="53"/>
    </row>
    <row r="828" ht="13.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  <c r="CD828" s="53"/>
      <c r="CE828" s="53"/>
      <c r="CF828" s="53"/>
    </row>
    <row r="829" ht="13.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  <c r="CD829" s="53"/>
      <c r="CE829" s="53"/>
      <c r="CF829" s="53"/>
    </row>
    <row r="830" ht="13.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</row>
    <row r="831" ht="13.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  <c r="CD831" s="53"/>
      <c r="CE831" s="53"/>
      <c r="CF831" s="53"/>
    </row>
    <row r="832" ht="13.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  <c r="CD832" s="53"/>
      <c r="CE832" s="53"/>
      <c r="CF832" s="53"/>
    </row>
    <row r="833" ht="13.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  <c r="CD833" s="53"/>
      <c r="CE833" s="53"/>
      <c r="CF833" s="53"/>
    </row>
    <row r="834" ht="13.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  <c r="CD834" s="53"/>
      <c r="CE834" s="53"/>
      <c r="CF834" s="53"/>
    </row>
    <row r="835" ht="13.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</row>
    <row r="836" ht="13.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</row>
    <row r="837" ht="13.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  <c r="CD837" s="53"/>
      <c r="CE837" s="53"/>
      <c r="CF837" s="53"/>
    </row>
    <row r="838" ht="13.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  <c r="CD838" s="53"/>
      <c r="CE838" s="53"/>
      <c r="CF838" s="53"/>
    </row>
    <row r="839" ht="13.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  <c r="CD839" s="53"/>
      <c r="CE839" s="53"/>
      <c r="CF839" s="53"/>
    </row>
    <row r="840" ht="13.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</row>
    <row r="841" ht="13.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  <c r="CD841" s="53"/>
      <c r="CE841" s="53"/>
      <c r="CF841" s="53"/>
    </row>
    <row r="842" ht="13.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  <c r="CD842" s="53"/>
      <c r="CE842" s="53"/>
      <c r="CF842" s="53"/>
    </row>
    <row r="843" ht="13.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  <c r="CD843" s="53"/>
      <c r="CE843" s="53"/>
      <c r="CF843" s="53"/>
    </row>
    <row r="844" ht="13.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  <c r="CD844" s="53"/>
      <c r="CE844" s="53"/>
      <c r="CF844" s="53"/>
    </row>
    <row r="845" ht="13.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</row>
    <row r="846" ht="13.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</row>
    <row r="847" ht="13.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  <c r="CD847" s="53"/>
      <c r="CE847" s="53"/>
      <c r="CF847" s="53"/>
    </row>
    <row r="848" ht="13.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  <c r="CD848" s="53"/>
      <c r="CE848" s="53"/>
      <c r="CF848" s="53"/>
    </row>
    <row r="849" ht="13.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  <c r="CD849" s="53"/>
      <c r="CE849" s="53"/>
      <c r="CF849" s="53"/>
    </row>
    <row r="850" ht="13.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</row>
    <row r="851" ht="13.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  <c r="CD851" s="53"/>
      <c r="CE851" s="53"/>
      <c r="CF851" s="53"/>
    </row>
    <row r="852" ht="13.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  <c r="CD852" s="53"/>
      <c r="CE852" s="53"/>
      <c r="CF852" s="53"/>
    </row>
    <row r="853" ht="13.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  <c r="CD853" s="53"/>
      <c r="CE853" s="53"/>
      <c r="CF853" s="53"/>
    </row>
    <row r="854" ht="13.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  <c r="CD854" s="53"/>
      <c r="CE854" s="53"/>
      <c r="CF854" s="53"/>
    </row>
    <row r="855" ht="13.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</row>
    <row r="856" ht="13.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</row>
    <row r="857" ht="13.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  <c r="CD857" s="53"/>
      <c r="CE857" s="53"/>
      <c r="CF857" s="53"/>
    </row>
    <row r="858" ht="13.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  <c r="CD858" s="53"/>
      <c r="CE858" s="53"/>
      <c r="CF858" s="53"/>
    </row>
    <row r="859" ht="13.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  <c r="CD859" s="53"/>
      <c r="CE859" s="53"/>
      <c r="CF859" s="53"/>
    </row>
    <row r="860" ht="13.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</row>
    <row r="861" ht="13.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  <c r="CD861" s="53"/>
      <c r="CE861" s="53"/>
      <c r="CF861" s="53"/>
    </row>
    <row r="862" ht="13.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  <c r="CD862" s="53"/>
      <c r="CE862" s="53"/>
      <c r="CF862" s="53"/>
    </row>
    <row r="863" ht="13.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  <c r="CD863" s="53"/>
      <c r="CE863" s="53"/>
      <c r="CF863" s="53"/>
    </row>
    <row r="864" ht="13.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  <c r="CD864" s="53"/>
      <c r="CE864" s="53"/>
      <c r="CF864" s="53"/>
    </row>
    <row r="865" ht="13.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  <c r="CD865" s="53"/>
      <c r="CE865" s="53"/>
      <c r="CF865" s="53"/>
    </row>
    <row r="866" ht="13.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  <c r="CD866" s="53"/>
      <c r="CE866" s="53"/>
      <c r="CF866" s="53"/>
    </row>
    <row r="867" ht="13.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  <c r="CD867" s="53"/>
      <c r="CE867" s="53"/>
      <c r="CF867" s="53"/>
    </row>
    <row r="868" ht="13.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  <c r="CD868" s="53"/>
      <c r="CE868" s="53"/>
      <c r="CF868" s="53"/>
    </row>
    <row r="869" ht="13.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  <c r="CD869" s="53"/>
      <c r="CE869" s="53"/>
      <c r="CF869" s="53"/>
    </row>
    <row r="870" ht="13.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</row>
    <row r="871" ht="13.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  <c r="CD871" s="53"/>
      <c r="CE871" s="53"/>
      <c r="CF871" s="53"/>
    </row>
    <row r="872" ht="13.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  <c r="CD872" s="53"/>
      <c r="CE872" s="53"/>
      <c r="CF872" s="53"/>
    </row>
    <row r="873" ht="13.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  <c r="CD873" s="53"/>
      <c r="CE873" s="53"/>
      <c r="CF873" s="53"/>
    </row>
    <row r="874" ht="13.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  <c r="CD874" s="53"/>
      <c r="CE874" s="53"/>
      <c r="CF874" s="53"/>
    </row>
    <row r="875" ht="13.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  <c r="CD875" s="53"/>
      <c r="CE875" s="53"/>
      <c r="CF875" s="53"/>
    </row>
    <row r="876" ht="13.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  <c r="CD876" s="53"/>
      <c r="CE876" s="53"/>
      <c r="CF876" s="53"/>
    </row>
    <row r="877" ht="13.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  <c r="CD877" s="53"/>
      <c r="CE877" s="53"/>
      <c r="CF877" s="53"/>
    </row>
    <row r="878" ht="13.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  <c r="CD878" s="53"/>
      <c r="CE878" s="53"/>
      <c r="CF878" s="53"/>
    </row>
    <row r="879" ht="13.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  <c r="CD879" s="53"/>
      <c r="CE879" s="53"/>
      <c r="CF879" s="53"/>
    </row>
    <row r="880" ht="13.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  <c r="CD880" s="53"/>
      <c r="CE880" s="53"/>
      <c r="CF880" s="53"/>
    </row>
    <row r="881" ht="13.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  <c r="CD881" s="53"/>
      <c r="CE881" s="53"/>
      <c r="CF881" s="53"/>
    </row>
    <row r="882" ht="13.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  <c r="CD882" s="53"/>
      <c r="CE882" s="53"/>
      <c r="CF882" s="53"/>
    </row>
    <row r="883" ht="13.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  <c r="CD883" s="53"/>
      <c r="CE883" s="53"/>
      <c r="CF883" s="53"/>
    </row>
    <row r="884" ht="13.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  <c r="CD884" s="53"/>
      <c r="CE884" s="53"/>
      <c r="CF884" s="53"/>
    </row>
    <row r="885" ht="13.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  <c r="CD885" s="53"/>
      <c r="CE885" s="53"/>
      <c r="CF885" s="53"/>
    </row>
    <row r="886" ht="13.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  <c r="CD886" s="53"/>
      <c r="CE886" s="53"/>
      <c r="CF886" s="53"/>
    </row>
    <row r="887" ht="13.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  <c r="CD887" s="53"/>
      <c r="CE887" s="53"/>
      <c r="CF887" s="53"/>
    </row>
    <row r="888" ht="13.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  <c r="CD888" s="53"/>
      <c r="CE888" s="53"/>
      <c r="CF888" s="53"/>
    </row>
    <row r="889" ht="13.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  <c r="CD889" s="53"/>
      <c r="CE889" s="53"/>
      <c r="CF889" s="53"/>
    </row>
    <row r="890" ht="13.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  <c r="CD890" s="53"/>
      <c r="CE890" s="53"/>
      <c r="CF890" s="53"/>
    </row>
    <row r="891" ht="13.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  <c r="CD891" s="53"/>
      <c r="CE891" s="53"/>
      <c r="CF891" s="53"/>
    </row>
    <row r="892" ht="13.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  <c r="CD892" s="53"/>
      <c r="CE892" s="53"/>
      <c r="CF892" s="53"/>
    </row>
    <row r="893" ht="13.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  <c r="CD893" s="53"/>
      <c r="CE893" s="53"/>
      <c r="CF893" s="53"/>
    </row>
    <row r="894" ht="13.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  <c r="CD894" s="53"/>
      <c r="CE894" s="53"/>
      <c r="CF894" s="53"/>
    </row>
    <row r="895" ht="13.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  <c r="CD895" s="53"/>
      <c r="CE895" s="53"/>
      <c r="CF895" s="53"/>
    </row>
    <row r="896" ht="13.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  <c r="CD896" s="53"/>
      <c r="CE896" s="53"/>
      <c r="CF896" s="53"/>
    </row>
    <row r="897" ht="13.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  <c r="CD897" s="53"/>
      <c r="CE897" s="53"/>
      <c r="CF897" s="53"/>
    </row>
    <row r="898" ht="13.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  <c r="CD898" s="53"/>
      <c r="CE898" s="53"/>
      <c r="CF898" s="53"/>
    </row>
    <row r="899" ht="13.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  <c r="CD899" s="53"/>
      <c r="CE899" s="53"/>
      <c r="CF899" s="53"/>
    </row>
    <row r="900" ht="13.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  <c r="CD900" s="53"/>
      <c r="CE900" s="53"/>
      <c r="CF900" s="53"/>
    </row>
    <row r="901" ht="13.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  <c r="CD901" s="53"/>
      <c r="CE901" s="53"/>
      <c r="CF901" s="53"/>
    </row>
    <row r="902" ht="13.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  <c r="CD902" s="53"/>
      <c r="CE902" s="53"/>
      <c r="CF902" s="53"/>
    </row>
    <row r="903" ht="13.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  <c r="CD903" s="53"/>
      <c r="CE903" s="53"/>
      <c r="CF903" s="53"/>
    </row>
    <row r="904" ht="13.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  <c r="CD904" s="53"/>
      <c r="CE904" s="53"/>
      <c r="CF904" s="53"/>
    </row>
    <row r="905" ht="13.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  <c r="CD905" s="53"/>
      <c r="CE905" s="53"/>
      <c r="CF905" s="53"/>
    </row>
    <row r="906" ht="13.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  <c r="CD906" s="53"/>
      <c r="CE906" s="53"/>
      <c r="CF906" s="53"/>
    </row>
    <row r="907" ht="13.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  <c r="CD907" s="53"/>
      <c r="CE907" s="53"/>
      <c r="CF907" s="53"/>
    </row>
    <row r="908" ht="13.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  <c r="CD908" s="53"/>
      <c r="CE908" s="53"/>
      <c r="CF908" s="53"/>
    </row>
    <row r="909" ht="13.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  <c r="CD909" s="53"/>
      <c r="CE909" s="53"/>
      <c r="CF909" s="53"/>
    </row>
    <row r="910" ht="13.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  <c r="CD910" s="53"/>
      <c r="CE910" s="53"/>
      <c r="CF910" s="53"/>
    </row>
    <row r="911" ht="13.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  <c r="CD911" s="53"/>
      <c r="CE911" s="53"/>
      <c r="CF911" s="53"/>
    </row>
    <row r="912" ht="13.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  <c r="CD912" s="53"/>
      <c r="CE912" s="53"/>
      <c r="CF912" s="53"/>
    </row>
    <row r="913" ht="13.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  <c r="CD913" s="53"/>
      <c r="CE913" s="53"/>
      <c r="CF913" s="53"/>
    </row>
    <row r="914" ht="13.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  <c r="CD914" s="53"/>
      <c r="CE914" s="53"/>
      <c r="CF914" s="53"/>
    </row>
    <row r="915" ht="13.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  <c r="CD915" s="53"/>
      <c r="CE915" s="53"/>
      <c r="CF915" s="53"/>
    </row>
    <row r="916" ht="13.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  <c r="CD916" s="53"/>
      <c r="CE916" s="53"/>
      <c r="CF916" s="53"/>
    </row>
    <row r="917" ht="13.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  <c r="CD917" s="53"/>
      <c r="CE917" s="53"/>
      <c r="CF917" s="53"/>
    </row>
    <row r="918" ht="13.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  <c r="CD918" s="53"/>
      <c r="CE918" s="53"/>
      <c r="CF918" s="53"/>
    </row>
    <row r="919" ht="13.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  <c r="CD919" s="53"/>
      <c r="CE919" s="53"/>
      <c r="CF919" s="53"/>
    </row>
    <row r="920" ht="13.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  <c r="CD920" s="53"/>
      <c r="CE920" s="53"/>
      <c r="CF920" s="53"/>
    </row>
    <row r="921" ht="13.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  <c r="CD921" s="53"/>
      <c r="CE921" s="53"/>
      <c r="CF921" s="53"/>
    </row>
    <row r="922" ht="13.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  <c r="CD922" s="53"/>
      <c r="CE922" s="53"/>
      <c r="CF922" s="53"/>
    </row>
    <row r="923" ht="13.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  <c r="CD923" s="53"/>
      <c r="CE923" s="53"/>
      <c r="CF923" s="53"/>
    </row>
    <row r="924" ht="13.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  <c r="CD924" s="53"/>
      <c r="CE924" s="53"/>
      <c r="CF924" s="53"/>
    </row>
    <row r="925" ht="13.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  <c r="CD925" s="53"/>
      <c r="CE925" s="53"/>
      <c r="CF925" s="53"/>
    </row>
    <row r="926" ht="13.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  <c r="CD926" s="53"/>
      <c r="CE926" s="53"/>
      <c r="CF926" s="53"/>
    </row>
    <row r="927" ht="13.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  <c r="CD927" s="53"/>
      <c r="CE927" s="53"/>
      <c r="CF927" s="53"/>
    </row>
    <row r="928" ht="13.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  <c r="CD928" s="53"/>
      <c r="CE928" s="53"/>
      <c r="CF928" s="53"/>
    </row>
    <row r="929" ht="13.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  <c r="CD929" s="53"/>
      <c r="CE929" s="53"/>
      <c r="CF929" s="53"/>
    </row>
    <row r="930" ht="13.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  <c r="CD930" s="53"/>
      <c r="CE930" s="53"/>
      <c r="CF930" s="53"/>
    </row>
    <row r="931" ht="13.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  <c r="CD931" s="53"/>
      <c r="CE931" s="53"/>
      <c r="CF931" s="53"/>
    </row>
    <row r="932" ht="13.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  <c r="CD932" s="53"/>
      <c r="CE932" s="53"/>
      <c r="CF932" s="53"/>
    </row>
    <row r="933" ht="13.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  <c r="CD933" s="53"/>
      <c r="CE933" s="53"/>
      <c r="CF933" s="53"/>
    </row>
    <row r="934" ht="13.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  <c r="CD934" s="53"/>
      <c r="CE934" s="53"/>
      <c r="CF934" s="53"/>
    </row>
    <row r="935" ht="13.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  <c r="CD935" s="53"/>
      <c r="CE935" s="53"/>
      <c r="CF935" s="53"/>
    </row>
    <row r="936" ht="13.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  <c r="CD936" s="53"/>
      <c r="CE936" s="53"/>
      <c r="CF936" s="53"/>
    </row>
    <row r="937" ht="13.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  <c r="CD937" s="53"/>
      <c r="CE937" s="53"/>
      <c r="CF937" s="53"/>
    </row>
    <row r="938" ht="13.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  <c r="CD938" s="53"/>
      <c r="CE938" s="53"/>
      <c r="CF938" s="53"/>
    </row>
    <row r="939" ht="13.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  <c r="CD939" s="53"/>
      <c r="CE939" s="53"/>
      <c r="CF939" s="53"/>
    </row>
    <row r="940" ht="13.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  <c r="CD940" s="53"/>
      <c r="CE940" s="53"/>
      <c r="CF940" s="53"/>
    </row>
    <row r="941" ht="13.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  <c r="CD941" s="53"/>
      <c r="CE941" s="53"/>
      <c r="CF941" s="53"/>
    </row>
    <row r="942" ht="13.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  <c r="CD942" s="53"/>
      <c r="CE942" s="53"/>
      <c r="CF942" s="53"/>
    </row>
    <row r="943" ht="13.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  <c r="CD943" s="53"/>
      <c r="CE943" s="53"/>
      <c r="CF943" s="53"/>
    </row>
    <row r="944" ht="13.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  <c r="CD944" s="53"/>
      <c r="CE944" s="53"/>
      <c r="CF944" s="53"/>
    </row>
    <row r="945" ht="13.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  <c r="CD945" s="53"/>
      <c r="CE945" s="53"/>
      <c r="CF945" s="53"/>
    </row>
    <row r="946" ht="13.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  <c r="CD946" s="53"/>
      <c r="CE946" s="53"/>
      <c r="CF946" s="53"/>
    </row>
    <row r="947" ht="13.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  <c r="CD947" s="53"/>
      <c r="CE947" s="53"/>
      <c r="CF947" s="53"/>
    </row>
    <row r="948" ht="13.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  <c r="CD948" s="53"/>
      <c r="CE948" s="53"/>
      <c r="CF948" s="53"/>
    </row>
    <row r="949" ht="13.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  <c r="CD949" s="53"/>
      <c r="CE949" s="53"/>
      <c r="CF949" s="53"/>
    </row>
    <row r="950" ht="13.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  <c r="CD950" s="53"/>
      <c r="CE950" s="53"/>
      <c r="CF950" s="53"/>
    </row>
    <row r="951" ht="13.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  <c r="CD951" s="53"/>
      <c r="CE951" s="53"/>
      <c r="CF951" s="53"/>
    </row>
  </sheetData>
  <mergeCells count="59">
    <mergeCell ref="BH49:BK49"/>
    <mergeCell ref="BL49:BO49"/>
    <mergeCell ref="Y49:AB49"/>
    <mergeCell ref="AC49:AF49"/>
    <mergeCell ref="AL49:AO49"/>
    <mergeCell ref="AP49:AT49"/>
    <mergeCell ref="AU49:AX49"/>
    <mergeCell ref="AY49:BB49"/>
    <mergeCell ref="BC49:BG49"/>
    <mergeCell ref="H3:W3"/>
    <mergeCell ref="X3:AF3"/>
    <mergeCell ref="AG3:AK3"/>
    <mergeCell ref="AL3:AQ3"/>
    <mergeCell ref="AR3:BB3"/>
    <mergeCell ref="BH3:BW3"/>
    <mergeCell ref="BX3:CF3"/>
    <mergeCell ref="BH22:BK22"/>
    <mergeCell ref="BL22:BO22"/>
    <mergeCell ref="BP22:BS22"/>
    <mergeCell ref="BT22:BX22"/>
    <mergeCell ref="BY22:CB22"/>
    <mergeCell ref="CC22:CF22"/>
    <mergeCell ref="Y22:AB22"/>
    <mergeCell ref="AC22:AF22"/>
    <mergeCell ref="AL22:AO22"/>
    <mergeCell ref="AP22:AT22"/>
    <mergeCell ref="AU22:AX22"/>
    <mergeCell ref="AY22:BB22"/>
    <mergeCell ref="BC22:BG22"/>
    <mergeCell ref="AM4:AN4"/>
    <mergeCell ref="AM5:AN5"/>
    <mergeCell ref="H22:K22"/>
    <mergeCell ref="L22:O22"/>
    <mergeCell ref="P22:S22"/>
    <mergeCell ref="T22:X22"/>
    <mergeCell ref="AG22:AK22"/>
    <mergeCell ref="AR30:BB30"/>
    <mergeCell ref="BH30:BW30"/>
    <mergeCell ref="BX30:CF30"/>
    <mergeCell ref="C22:G22"/>
    <mergeCell ref="C23:G23"/>
    <mergeCell ref="A27:B27"/>
    <mergeCell ref="H30:W30"/>
    <mergeCell ref="X30:AF30"/>
    <mergeCell ref="AG30:AK30"/>
    <mergeCell ref="AL30:AQ30"/>
    <mergeCell ref="AG49:AK49"/>
    <mergeCell ref="BP49:BS49"/>
    <mergeCell ref="BT49:BX49"/>
    <mergeCell ref="BY49:CB49"/>
    <mergeCell ref="CC49:CF49"/>
    <mergeCell ref="AM31:AN31"/>
    <mergeCell ref="AM32:AN32"/>
    <mergeCell ref="C49:G49"/>
    <mergeCell ref="H49:K49"/>
    <mergeCell ref="L49:O49"/>
    <mergeCell ref="P49:S49"/>
    <mergeCell ref="T49:X49"/>
    <mergeCell ref="C50:G50"/>
  </mergeCells>
  <printOptions/>
  <pageMargins bottom="0.75" footer="0.0" header="0.0" left="0.7" right="0.7" top="0.75"/>
  <pageSetup orientation="landscape"/>
  <drawing r:id="rId1"/>
</worksheet>
</file>